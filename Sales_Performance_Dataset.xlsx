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  <sheet name="KPI_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<sst xmlns="http://schemas.openxmlformats.org/spreadsheetml/2006/main" count="1383" uniqueCount="104">
  <si>
    <t xml:space="preserve">Date</t>
  </si>
  <si>
    <t xml:space="preserve">Month</t>
  </si>
  <si>
    <t xml:space="preserve">Quarter</t>
  </si>
  <si>
    <t xml:space="preserve">Year</t>
  </si>
  <si>
    <t xml:space="preserve">Region</t>
  </si>
  <si>
    <t xml:space="preserve">State/City</t>
  </si>
  <si>
    <t xml:space="preserve">Sales Executive Name</t>
  </si>
  <si>
    <t xml:space="preserve">Product Category</t>
  </si>
  <si>
    <t xml:space="preserve">Product Name</t>
  </si>
  <si>
    <t xml:space="preserve">Units Sold</t>
  </si>
  <si>
    <t xml:space="preserve">Selling Price</t>
  </si>
  <si>
    <t xml:space="preserve">Revenue</t>
  </si>
  <si>
    <t xml:space="preserve">Cost</t>
  </si>
  <si>
    <t xml:space="preserve">Profit</t>
  </si>
  <si>
    <t xml:space="preserve">Profit Margin %</t>
  </si>
  <si>
    <t xml:space="preserve">Customer Type</t>
  </si>
  <si>
    <t xml:space="preserve">Sales Channel</t>
  </si>
  <si>
    <t xml:space="preserve">Target Sales</t>
  </si>
  <si>
    <t xml:space="preserve">Actual Sales</t>
  </si>
  <si>
    <t xml:space="preserve">Achievement %</t>
  </si>
  <si>
    <t xml:space="preserve">Growth %</t>
  </si>
  <si>
    <t xml:space="preserve">Previous Period Revenue (Reference)</t>
  </si>
  <si>
    <t xml:space="preserve">January</t>
  </si>
  <si>
    <t xml:space="preserve">Q1</t>
  </si>
  <si>
    <t xml:space="preserve">West</t>
  </si>
  <si>
    <t xml:space="preserve">Pune</t>
  </si>
  <si>
    <t xml:space="preserve">Isha Bose</t>
  </si>
  <si>
    <t xml:space="preserve">Apparel</t>
  </si>
  <si>
    <t xml:space="preserve">Running Shoes</t>
  </si>
  <si>
    <t xml:space="preserve">New</t>
  </si>
  <si>
    <t xml:space="preserve">Offline</t>
  </si>
  <si>
    <t xml:space="preserve">Central</t>
  </si>
  <si>
    <t xml:space="preserve">Raipur</t>
  </si>
  <si>
    <t xml:space="preserve">Karan Mehta</t>
  </si>
  <si>
    <t xml:space="preserve">Women's Kurti</t>
  </si>
  <si>
    <t xml:space="preserve">Existing</t>
  </si>
  <si>
    <t xml:space="preserve">Online</t>
  </si>
  <si>
    <t xml:space="preserve">Nikhil Gupta</t>
  </si>
  <si>
    <t xml:space="preserve">East</t>
  </si>
  <si>
    <t xml:space="preserve">Bhubaneswar</t>
  </si>
  <si>
    <t xml:space="preserve">Home Appliances</t>
  </si>
  <si>
    <t xml:space="preserve">Refrigerator 300L</t>
  </si>
  <si>
    <t xml:space="preserve">Vikram Rao</t>
  </si>
  <si>
    <t xml:space="preserve">FMCG</t>
  </si>
  <si>
    <t xml:space="preserve">Organic Tea</t>
  </si>
  <si>
    <t xml:space="preserve">Kolkata</t>
  </si>
  <si>
    <t xml:space="preserve">Packaged Snacks</t>
  </si>
  <si>
    <t xml:space="preserve">South</t>
  </si>
  <si>
    <t xml:space="preserve">Hyderabad</t>
  </si>
  <si>
    <t xml:space="preserve">Priya Nair</t>
  </si>
  <si>
    <t xml:space="preserve">Bengaluru</t>
  </si>
  <si>
    <t xml:space="preserve">Washing Machine 7kg</t>
  </si>
  <si>
    <t xml:space="preserve">February</t>
  </si>
  <si>
    <t xml:space="preserve">North</t>
  </si>
  <si>
    <t xml:space="preserve">Delhi</t>
  </si>
  <si>
    <t xml:space="preserve">Lucknow</t>
  </si>
  <si>
    <t xml:space="preserve">Arjun Verma</t>
  </si>
  <si>
    <t xml:space="preserve">Microwave Oven</t>
  </si>
  <si>
    <t xml:space="preserve">Skin Care Cream</t>
  </si>
  <si>
    <t xml:space="preserve">March</t>
  </si>
  <si>
    <t xml:space="preserve">Nagpur</t>
  </si>
  <si>
    <t xml:space="preserve">Ananya Iyer</t>
  </si>
  <si>
    <t xml:space="preserve">April</t>
  </si>
  <si>
    <t xml:space="preserve">Q2</t>
  </si>
  <si>
    <t xml:space="preserve">Sneha Kapoor</t>
  </si>
  <si>
    <t xml:space="preserve">Electronics</t>
  </si>
  <si>
    <t xml:space="preserve">Laptop Pro 14</t>
  </si>
  <si>
    <t xml:space="preserve">May</t>
  </si>
  <si>
    <t xml:space="preserve">Smart Watch</t>
  </si>
  <si>
    <t xml:space="preserve">Mumbai</t>
  </si>
  <si>
    <t xml:space="preserve">Rohan Sharma</t>
  </si>
  <si>
    <t xml:space="preserve">Furniture</t>
  </si>
  <si>
    <t xml:space="preserve">Wooden Dining Table</t>
  </si>
  <si>
    <t xml:space="preserve">June</t>
  </si>
  <si>
    <t xml:space="preserve">Bhopal</t>
  </si>
  <si>
    <t xml:space="preserve">Sofa Set 3-Seater</t>
  </si>
  <si>
    <t xml:space="preserve">Ahmedabad</t>
  </si>
  <si>
    <t xml:space="preserve">Chandigarh</t>
  </si>
  <si>
    <t xml:space="preserve">Men's Formal Shirt</t>
  </si>
  <si>
    <t xml:space="preserve">Patna</t>
  </si>
  <si>
    <t xml:space="preserve">July</t>
  </si>
  <si>
    <t xml:space="preserve">Q3</t>
  </si>
  <si>
    <t xml:space="preserve">August</t>
  </si>
  <si>
    <t xml:space="preserve">Divya Menon</t>
  </si>
  <si>
    <t xml:space="preserve">Smartphone X1</t>
  </si>
  <si>
    <t xml:space="preserve">Office Chair</t>
  </si>
  <si>
    <t xml:space="preserve">September</t>
  </si>
  <si>
    <t xml:space="preserve">October</t>
  </si>
  <si>
    <t xml:space="preserve">Q4</t>
  </si>
  <si>
    <t xml:space="preserve">Chennai</t>
  </si>
  <si>
    <t xml:space="preserve">Wireless Earbuds</t>
  </si>
  <si>
    <t xml:space="preserve">November</t>
  </si>
  <si>
    <t xml:space="preserve">December</t>
  </si>
  <si>
    <t xml:space="preserve">Metric</t>
  </si>
  <si>
    <t xml:space="preserve">Value</t>
  </si>
  <si>
    <t xml:space="preserve">Total Revenue</t>
  </si>
  <si>
    <t xml:space="preserve">Total Cost</t>
  </si>
  <si>
    <t xml:space="preserve">Total Profit</t>
  </si>
  <si>
    <t xml:space="preserve">Overall Profit Margin %</t>
  </si>
  <si>
    <t xml:space="preserve">Total Units Sold</t>
  </si>
  <si>
    <t xml:space="preserve">Total Target Sales</t>
  </si>
  <si>
    <t xml:space="preserve">Total Actual Sales</t>
  </si>
  <si>
    <t xml:space="preserve">Overall Achievement %</t>
  </si>
  <si>
    <t xml:space="preserve">Average Growth %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</si>
</sst>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\$#,##0.00"/>
    <numFmt numFmtId="167" formatCode="0.0%"/>
    <numFmt numFmtId="168" formatCode="\$#,##0"/>
    <numFmt numFmtId="169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15"/>
    <col collapsed="false" customWidth="true" hidden="false" outlineLevel="0" max="14" min="12" style="0" width="14"/>
    <col collapsed="false" customWidth="true" hidden="false" outlineLevel="0" max="15" min="15" style="0" width="17"/>
    <col collapsed="false" customWidth="true" hidden="false" outlineLevel="0" max="17" min="16" style="0" width="15"/>
    <col collapsed="false" customWidth="true" hidden="false" outlineLevel="0" max="19" min="18" style="0" width="14"/>
    <col collapsed="false" customWidth="true" hidden="false" outlineLevel="0" max="20" min="20" style="0" width="15"/>
    <col collapsed="false" customWidth="true" hidden="false" outlineLevel="0" max="21" min="21" style="0" width="14"/>
    <col collapsed="false" customWidth="true" hidden="false" outlineLevel="0" max="22" min="22" style="0" width="37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2" t="n">
        <v>45300</v>
      </c>
      <c r="B2" s="3" t="s">
        <v>22</v>
      </c>
      <c r="C2" s="3" t="s">
        <v>23</v>
      </c>
      <c r="D2" s="3" t="n">
        <v>2024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n">
        <v>149</v>
      </c>
      <c r="K2" s="4" t="n">
        <v>7672.86</v>
      </c>
      <c r="L2" s="4" t="n">
        <f aca="false">J2*K2</f>
        <v>1143256.14</v>
      </c>
      <c r="M2" s="4" t="n">
        <f aca="false">L2*0.5673</f>
        <v>648569.208222</v>
      </c>
      <c r="N2" s="4" t="n">
        <f aca="false">L2-M2</f>
        <v>494686.931778</v>
      </c>
      <c r="O2" s="5" t="n">
        <f aca="false">IFERROR(N2/L2,0)</f>
        <v>0.4327</v>
      </c>
      <c r="P2" s="3" t="s">
        <v>29</v>
      </c>
      <c r="Q2" s="3" t="s">
        <v>30</v>
      </c>
      <c r="R2" s="4" t="n">
        <f aca="false">L2/(1+-0.1362)</f>
        <v>1323519.49525353</v>
      </c>
      <c r="S2" s="4" t="n">
        <f aca="false">L2</f>
        <v>1143256.14</v>
      </c>
      <c r="T2" s="5" t="n">
        <f aca="false">IFERROR(S2/R2,0)</f>
        <v>0.8638</v>
      </c>
      <c r="U2" s="5" t="n">
        <f aca="false">IFERROR((L2-V2)/V2,0)</f>
        <v>0.2892</v>
      </c>
      <c r="V2" s="4" t="n">
        <f aca="false">L2/1.2892</f>
        <v>886795.020167546</v>
      </c>
    </row>
    <row r="3" customFormat="false" ht="15" hidden="false" customHeight="false" outlineLevel="0" collapsed="false">
      <c r="A3" s="2" t="n">
        <v>45308</v>
      </c>
      <c r="B3" s="3" t="s">
        <v>22</v>
      </c>
      <c r="C3" s="3" t="s">
        <v>23</v>
      </c>
      <c r="D3" s="3" t="n">
        <v>2024</v>
      </c>
      <c r="E3" s="3" t="s">
        <v>31</v>
      </c>
      <c r="F3" s="3" t="s">
        <v>32</v>
      </c>
      <c r="G3" s="3" t="s">
        <v>33</v>
      </c>
      <c r="H3" s="3" t="s">
        <v>27</v>
      </c>
      <c r="I3" s="3" t="s">
        <v>34</v>
      </c>
      <c r="J3" s="3" t="n">
        <v>25</v>
      </c>
      <c r="K3" s="4" t="n">
        <v>5299.36</v>
      </c>
      <c r="L3" s="4" t="n">
        <f aca="false">J3*K3</f>
        <v>132484</v>
      </c>
      <c r="M3" s="4" t="n">
        <f aca="false">L3*0.7392</f>
        <v>97932.1728</v>
      </c>
      <c r="N3" s="4" t="n">
        <f aca="false">L3-M3</f>
        <v>34551.8272</v>
      </c>
      <c r="O3" s="5" t="n">
        <f aca="false">IFERROR(N3/L3,0)</f>
        <v>0.2608</v>
      </c>
      <c r="P3" s="3" t="s">
        <v>35</v>
      </c>
      <c r="Q3" s="3" t="s">
        <v>36</v>
      </c>
      <c r="R3" s="4" t="n">
        <f aca="false">L3/(1+0.0976)</f>
        <v>120703.352769679</v>
      </c>
      <c r="S3" s="4" t="n">
        <f aca="false">L3</f>
        <v>132484</v>
      </c>
      <c r="T3" s="5" t="n">
        <f aca="false">IFERROR(S3/R3,0)</f>
        <v>1.0976</v>
      </c>
      <c r="U3" s="5" t="n">
        <f aca="false">IFERROR((L3-V3)/V3,0)</f>
        <v>-0.1386</v>
      </c>
      <c r="V3" s="4" t="n">
        <f aca="false">L3/0.8614</f>
        <v>153800.789412584</v>
      </c>
    </row>
    <row r="4" customFormat="false" ht="15" hidden="false" customHeight="false" outlineLevel="0" collapsed="false">
      <c r="A4" s="2" t="n">
        <v>45310</v>
      </c>
      <c r="B4" s="3" t="s">
        <v>22</v>
      </c>
      <c r="C4" s="3" t="s">
        <v>23</v>
      </c>
      <c r="D4" s="3" t="n">
        <v>2024</v>
      </c>
      <c r="E4" s="3" t="s">
        <v>31</v>
      </c>
      <c r="F4" s="3" t="s">
        <v>32</v>
      </c>
      <c r="G4" s="3" t="s">
        <v>37</v>
      </c>
      <c r="H4" s="3" t="s">
        <v>27</v>
      </c>
      <c r="I4" s="3" t="s">
        <v>34</v>
      </c>
      <c r="J4" s="3" t="n">
        <v>20</v>
      </c>
      <c r="K4" s="4" t="n">
        <v>6479.14</v>
      </c>
      <c r="L4" s="4" t="n">
        <f aca="false">J4*K4</f>
        <v>129582.8</v>
      </c>
      <c r="M4" s="4" t="n">
        <f aca="false">L4*0.5913</f>
        <v>76622.30964</v>
      </c>
      <c r="N4" s="4" t="n">
        <f aca="false">L4-M4</f>
        <v>52960.49036</v>
      </c>
      <c r="O4" s="5" t="n">
        <f aca="false">IFERROR(N4/L4,0)</f>
        <v>0.4087</v>
      </c>
      <c r="P4" s="3" t="s">
        <v>35</v>
      </c>
      <c r="Q4" s="3" t="s">
        <v>36</v>
      </c>
      <c r="R4" s="4" t="n">
        <f aca="false">L4/(1+0.1587)</f>
        <v>111834.642271511</v>
      </c>
      <c r="S4" s="4" t="n">
        <f aca="false">L4</f>
        <v>129582.8</v>
      </c>
      <c r="T4" s="5" t="n">
        <f aca="false">IFERROR(S4/R4,0)</f>
        <v>1.1587</v>
      </c>
      <c r="U4" s="5" t="n">
        <f aca="false">IFERROR((L4-V4)/V4,0)</f>
        <v>0.2551</v>
      </c>
      <c r="V4" s="4" t="n">
        <f aca="false">L4/1.2551</f>
        <v>103245.000398375</v>
      </c>
    </row>
    <row r="5" customFormat="false" ht="15" hidden="false" customHeight="false" outlineLevel="0" collapsed="false">
      <c r="A5" s="2" t="n">
        <v>45310</v>
      </c>
      <c r="B5" s="3" t="s">
        <v>22</v>
      </c>
      <c r="C5" s="3" t="s">
        <v>23</v>
      </c>
      <c r="D5" s="3" t="n">
        <v>2024</v>
      </c>
      <c r="E5" s="3" t="s">
        <v>38</v>
      </c>
      <c r="F5" s="3" t="s">
        <v>39</v>
      </c>
      <c r="G5" s="3" t="s">
        <v>26</v>
      </c>
      <c r="H5" s="3" t="s">
        <v>40</v>
      </c>
      <c r="I5" s="3" t="s">
        <v>41</v>
      </c>
      <c r="J5" s="3" t="n">
        <v>77</v>
      </c>
      <c r="K5" s="4" t="n">
        <v>2350.9</v>
      </c>
      <c r="L5" s="4" t="n">
        <f aca="false">J5*K5</f>
        <v>181019.3</v>
      </c>
      <c r="M5" s="4" t="n">
        <f aca="false">L5*0.6207</f>
        <v>112358.67951</v>
      </c>
      <c r="N5" s="4" t="n">
        <f aca="false">L5-M5</f>
        <v>68660.62049</v>
      </c>
      <c r="O5" s="5" t="n">
        <f aca="false">IFERROR(N5/L5,0)</f>
        <v>0.3793</v>
      </c>
      <c r="P5" s="3" t="s">
        <v>29</v>
      </c>
      <c r="Q5" s="3" t="s">
        <v>36</v>
      </c>
      <c r="R5" s="4" t="n">
        <f aca="false">L5/(1+-0.0189)</f>
        <v>184506.47232698</v>
      </c>
      <c r="S5" s="4" t="n">
        <f aca="false">L5</f>
        <v>181019.3</v>
      </c>
      <c r="T5" s="5" t="n">
        <f aca="false">IFERROR(S5/R5,0)</f>
        <v>0.9811</v>
      </c>
      <c r="U5" s="5" t="n">
        <f aca="false">IFERROR((L5-V5)/V5,0)</f>
        <v>0.236</v>
      </c>
      <c r="V5" s="4" t="n">
        <f aca="false">L5/1.236</f>
        <v>146455.74433657</v>
      </c>
    </row>
    <row r="6" customFormat="false" ht="15" hidden="false" customHeight="false" outlineLevel="0" collapsed="false">
      <c r="A6" s="2" t="n">
        <v>45318</v>
      </c>
      <c r="B6" s="3" t="s">
        <v>22</v>
      </c>
      <c r="C6" s="3" t="s">
        <v>23</v>
      </c>
      <c r="D6" s="3" t="n">
        <v>2024</v>
      </c>
      <c r="E6" s="3" t="s">
        <v>38</v>
      </c>
      <c r="F6" s="3" t="s">
        <v>39</v>
      </c>
      <c r="G6" s="3" t="s">
        <v>42</v>
      </c>
      <c r="H6" s="3" t="s">
        <v>43</v>
      </c>
      <c r="I6" s="3" t="s">
        <v>44</v>
      </c>
      <c r="J6" s="3" t="n">
        <v>264</v>
      </c>
      <c r="K6" s="4" t="n">
        <v>7997.91</v>
      </c>
      <c r="L6" s="4" t="n">
        <f aca="false">J6*K6</f>
        <v>2111448.24</v>
      </c>
      <c r="M6" s="4" t="n">
        <f aca="false">L6*0.5934</f>
        <v>1252933.385616</v>
      </c>
      <c r="N6" s="4" t="n">
        <f aca="false">L6-M6</f>
        <v>858514.854384</v>
      </c>
      <c r="O6" s="5" t="n">
        <f aca="false">IFERROR(N6/L6,0)</f>
        <v>0.4066</v>
      </c>
      <c r="P6" s="3" t="s">
        <v>29</v>
      </c>
      <c r="Q6" s="3" t="s">
        <v>30</v>
      </c>
      <c r="R6" s="4" t="n">
        <f aca="false">L6/(1+-0.0485)</f>
        <v>2219073.29479769</v>
      </c>
      <c r="S6" s="4" t="n">
        <f aca="false">L6</f>
        <v>2111448.24</v>
      </c>
      <c r="T6" s="5" t="n">
        <f aca="false">IFERROR(S6/R6,0)</f>
        <v>0.9515</v>
      </c>
      <c r="U6" s="5" t="n">
        <f aca="false">IFERROR((L6-V6)/V6,0)</f>
        <v>-0.1676</v>
      </c>
      <c r="V6" s="4" t="n">
        <f aca="false">L6/0.8324</f>
        <v>2536578.85631908</v>
      </c>
    </row>
    <row r="7" customFormat="false" ht="15" hidden="false" customHeight="false" outlineLevel="0" collapsed="false">
      <c r="A7" s="2" t="n">
        <v>45321</v>
      </c>
      <c r="B7" s="3" t="s">
        <v>22</v>
      </c>
      <c r="C7" s="3" t="s">
        <v>23</v>
      </c>
      <c r="D7" s="3" t="n">
        <v>2024</v>
      </c>
      <c r="E7" s="3" t="s">
        <v>38</v>
      </c>
      <c r="F7" s="3" t="s">
        <v>45</v>
      </c>
      <c r="G7" s="3" t="s">
        <v>33</v>
      </c>
      <c r="H7" s="3" t="s">
        <v>43</v>
      </c>
      <c r="I7" s="3" t="s">
        <v>46</v>
      </c>
      <c r="J7" s="3" t="n">
        <v>20</v>
      </c>
      <c r="K7" s="4" t="n">
        <v>6841.85</v>
      </c>
      <c r="L7" s="4" t="n">
        <f aca="false">J7*K7</f>
        <v>136837</v>
      </c>
      <c r="M7" s="4" t="n">
        <f aca="false">L7*0.572</f>
        <v>78270.764</v>
      </c>
      <c r="N7" s="4" t="n">
        <f aca="false">L7-M7</f>
        <v>58566.236</v>
      </c>
      <c r="O7" s="5" t="n">
        <f aca="false">IFERROR(N7/L7,0)</f>
        <v>0.428</v>
      </c>
      <c r="P7" s="3" t="s">
        <v>35</v>
      </c>
      <c r="Q7" s="3" t="s">
        <v>30</v>
      </c>
      <c r="R7" s="4" t="n">
        <f aca="false">L7/(1+-0.0718)</f>
        <v>147421.891833657</v>
      </c>
      <c r="S7" s="4" t="n">
        <f aca="false">L7</f>
        <v>136837</v>
      </c>
      <c r="T7" s="5" t="n">
        <f aca="false">IFERROR(S7/R7,0)</f>
        <v>0.9282</v>
      </c>
      <c r="U7" s="5" t="n">
        <f aca="false">IFERROR((L7-V7)/V7,0)</f>
        <v>-0.146</v>
      </c>
      <c r="V7" s="4" t="n">
        <f aca="false">L7/0.854</f>
        <v>160230.679156909</v>
      </c>
    </row>
    <row r="8" customFormat="false" ht="15" hidden="false" customHeight="false" outlineLevel="0" collapsed="false">
      <c r="A8" s="2" t="n">
        <v>45321</v>
      </c>
      <c r="B8" s="3" t="s">
        <v>22</v>
      </c>
      <c r="C8" s="3" t="s">
        <v>23</v>
      </c>
      <c r="D8" s="3" t="n">
        <v>2024</v>
      </c>
      <c r="E8" s="3" t="s">
        <v>47</v>
      </c>
      <c r="F8" s="3" t="s">
        <v>48</v>
      </c>
      <c r="G8" s="3" t="s">
        <v>49</v>
      </c>
      <c r="H8" s="3" t="s">
        <v>40</v>
      </c>
      <c r="I8" s="3" t="s">
        <v>41</v>
      </c>
      <c r="J8" s="3" t="n">
        <v>60</v>
      </c>
      <c r="K8" s="4" t="n">
        <v>3993.13</v>
      </c>
      <c r="L8" s="4" t="n">
        <f aca="false">J8*K8</f>
        <v>239587.8</v>
      </c>
      <c r="M8" s="4" t="n">
        <f aca="false">L8*0.702</f>
        <v>168190.6356</v>
      </c>
      <c r="N8" s="4" t="n">
        <f aca="false">L8-M8</f>
        <v>71397.1644</v>
      </c>
      <c r="O8" s="5" t="n">
        <f aca="false">IFERROR(N8/L8,0)</f>
        <v>0.298</v>
      </c>
      <c r="P8" s="3" t="s">
        <v>35</v>
      </c>
      <c r="Q8" s="3" t="s">
        <v>36</v>
      </c>
      <c r="R8" s="4" t="n">
        <f aca="false">L8/(1+0.0987)</f>
        <v>218064.803859106</v>
      </c>
      <c r="S8" s="4" t="n">
        <f aca="false">L8</f>
        <v>239587.8</v>
      </c>
      <c r="T8" s="5" t="n">
        <f aca="false">IFERROR(S8/R8,0)</f>
        <v>1.0987</v>
      </c>
      <c r="U8" s="5" t="n">
        <f aca="false">IFERROR((L8-V8)/V8,0)</f>
        <v>-0.1766</v>
      </c>
      <c r="V8" s="4" t="n">
        <f aca="false">L8/0.8234</f>
        <v>290973.767306291</v>
      </c>
    </row>
    <row r="9" customFormat="false" ht="15" hidden="false" customHeight="false" outlineLevel="0" collapsed="false">
      <c r="A9" s="2" t="n">
        <v>45321</v>
      </c>
      <c r="B9" s="3" t="s">
        <v>22</v>
      </c>
      <c r="C9" s="3" t="s">
        <v>23</v>
      </c>
      <c r="D9" s="3" t="n">
        <v>2024</v>
      </c>
      <c r="E9" s="3" t="s">
        <v>47</v>
      </c>
      <c r="F9" s="3" t="s">
        <v>50</v>
      </c>
      <c r="G9" s="3" t="s">
        <v>26</v>
      </c>
      <c r="H9" s="3" t="s">
        <v>40</v>
      </c>
      <c r="I9" s="3" t="s">
        <v>51</v>
      </c>
      <c r="J9" s="3" t="n">
        <v>26</v>
      </c>
      <c r="K9" s="4" t="n">
        <v>2191.73</v>
      </c>
      <c r="L9" s="4" t="n">
        <f aca="false">J9*K9</f>
        <v>56984.98</v>
      </c>
      <c r="M9" s="4" t="n">
        <f aca="false">L9*0.6233</f>
        <v>35518.738034</v>
      </c>
      <c r="N9" s="4" t="n">
        <f aca="false">L9-M9</f>
        <v>21466.241966</v>
      </c>
      <c r="O9" s="5" t="n">
        <f aca="false">IFERROR(N9/L9,0)</f>
        <v>0.3767</v>
      </c>
      <c r="P9" s="3" t="s">
        <v>35</v>
      </c>
      <c r="Q9" s="3" t="s">
        <v>36</v>
      </c>
      <c r="R9" s="4" t="n">
        <f aca="false">L9/(1+0.181)</f>
        <v>48251.4648602879</v>
      </c>
      <c r="S9" s="4" t="n">
        <f aca="false">L9</f>
        <v>56984.98</v>
      </c>
      <c r="T9" s="5" t="n">
        <f aca="false">IFERROR(S9/R9,0)</f>
        <v>1.181</v>
      </c>
      <c r="U9" s="5" t="n">
        <f aca="false">IFERROR((L9-V9)/V9,0)</f>
        <v>0.1636</v>
      </c>
      <c r="V9" s="4" t="n">
        <f aca="false">L9/1.1636</f>
        <v>48972.9975936748</v>
      </c>
    </row>
    <row r="10" customFormat="false" ht="15" hidden="false" customHeight="false" outlineLevel="0" collapsed="false">
      <c r="A10" s="2" t="n">
        <v>45325</v>
      </c>
      <c r="B10" s="3" t="s">
        <v>52</v>
      </c>
      <c r="C10" s="3" t="s">
        <v>23</v>
      </c>
      <c r="D10" s="3" t="n">
        <v>2024</v>
      </c>
      <c r="E10" s="3" t="s">
        <v>53</v>
      </c>
      <c r="F10" s="3" t="s">
        <v>54</v>
      </c>
      <c r="G10" s="3" t="s">
        <v>33</v>
      </c>
      <c r="H10" s="3" t="s">
        <v>27</v>
      </c>
      <c r="I10" s="3" t="s">
        <v>34</v>
      </c>
      <c r="J10" s="3" t="n">
        <v>249</v>
      </c>
      <c r="K10" s="4" t="n">
        <v>7316.92</v>
      </c>
      <c r="L10" s="4" t="n">
        <f aca="false">J10*K10</f>
        <v>1821913.08</v>
      </c>
      <c r="M10" s="4" t="n">
        <f aca="false">L10*0.7086</f>
        <v>1291007.608488</v>
      </c>
      <c r="N10" s="4" t="n">
        <f aca="false">L10-M10</f>
        <v>530905.471512</v>
      </c>
      <c r="O10" s="5" t="n">
        <f aca="false">IFERROR(N10/L10,0)</f>
        <v>0.2914</v>
      </c>
      <c r="P10" s="3" t="s">
        <v>29</v>
      </c>
      <c r="Q10" s="3" t="s">
        <v>36</v>
      </c>
      <c r="R10" s="4" t="n">
        <f aca="false">L10/(1+-0.1612)</f>
        <v>2172047.06723891</v>
      </c>
      <c r="S10" s="4" t="n">
        <f aca="false">L10</f>
        <v>1821913.08</v>
      </c>
      <c r="T10" s="5" t="n">
        <f aca="false">IFERROR(S10/R10,0)</f>
        <v>0.8388</v>
      </c>
      <c r="U10" s="5" t="n">
        <f aca="false">IFERROR((L10-V10)/V10,0)</f>
        <v>-0.1323</v>
      </c>
      <c r="V10" s="4" t="n">
        <f aca="false">L10/0.8677</f>
        <v>2099703.90688026</v>
      </c>
    </row>
    <row r="11" customFormat="false" ht="15" hidden="false" customHeight="false" outlineLevel="0" collapsed="false">
      <c r="A11" s="2" t="n">
        <v>45330</v>
      </c>
      <c r="B11" s="3" t="s">
        <v>52</v>
      </c>
      <c r="C11" s="3" t="s">
        <v>23</v>
      </c>
      <c r="D11" s="3" t="n">
        <v>2024</v>
      </c>
      <c r="E11" s="3" t="s">
        <v>53</v>
      </c>
      <c r="F11" s="3" t="s">
        <v>55</v>
      </c>
      <c r="G11" s="3" t="s">
        <v>56</v>
      </c>
      <c r="H11" s="3" t="s">
        <v>40</v>
      </c>
      <c r="I11" s="3" t="s">
        <v>57</v>
      </c>
      <c r="J11" s="3" t="n">
        <v>444</v>
      </c>
      <c r="K11" s="4" t="n">
        <v>7474.07</v>
      </c>
      <c r="L11" s="4" t="n">
        <f aca="false">J11*K11</f>
        <v>3318487.08</v>
      </c>
      <c r="M11" s="4" t="n">
        <f aca="false">L11*0.74</f>
        <v>2455680.4392</v>
      </c>
      <c r="N11" s="4" t="n">
        <f aca="false">L11-M11</f>
        <v>862806.6408</v>
      </c>
      <c r="O11" s="5" t="n">
        <f aca="false">IFERROR(N11/L11,0)</f>
        <v>0.26</v>
      </c>
      <c r="P11" s="3" t="s">
        <v>29</v>
      </c>
      <c r="Q11" s="3" t="s">
        <v>36</v>
      </c>
      <c r="R11" s="4" t="n">
        <f aca="false">L11/(1+-0.079)</f>
        <v>3603134.72312704</v>
      </c>
      <c r="S11" s="4" t="n">
        <f aca="false">L11</f>
        <v>3318487.08</v>
      </c>
      <c r="T11" s="5" t="n">
        <f aca="false">IFERROR(S11/R11,0)</f>
        <v>0.921</v>
      </c>
      <c r="U11" s="5" t="n">
        <f aca="false">IFERROR((L11-V11)/V11,0)</f>
        <v>0.186</v>
      </c>
      <c r="V11" s="4" t="n">
        <f aca="false">L11/1.186</f>
        <v>2798049.81450253</v>
      </c>
    </row>
    <row r="12" customFormat="false" ht="15" hidden="false" customHeight="false" outlineLevel="0" collapsed="false">
      <c r="A12" s="2" t="n">
        <v>45348</v>
      </c>
      <c r="B12" s="3" t="s">
        <v>52</v>
      </c>
      <c r="C12" s="3" t="s">
        <v>23</v>
      </c>
      <c r="D12" s="3" t="n">
        <v>2024</v>
      </c>
      <c r="E12" s="3" t="s">
        <v>38</v>
      </c>
      <c r="F12" s="3" t="s">
        <v>45</v>
      </c>
      <c r="G12" s="3" t="s">
        <v>33</v>
      </c>
      <c r="H12" s="3" t="s">
        <v>27</v>
      </c>
      <c r="I12" s="3" t="s">
        <v>28</v>
      </c>
      <c r="J12" s="3" t="n">
        <v>199</v>
      </c>
      <c r="K12" s="4" t="n">
        <v>4326.23</v>
      </c>
      <c r="L12" s="4" t="n">
        <f aca="false">J12*K12</f>
        <v>860919.77</v>
      </c>
      <c r="M12" s="4" t="n">
        <f aca="false">L12*0.7428</f>
        <v>639491.205156</v>
      </c>
      <c r="N12" s="4" t="n">
        <f aca="false">L12-M12</f>
        <v>221428.564844</v>
      </c>
      <c r="O12" s="5" t="n">
        <f aca="false">IFERROR(N12/L12,0)</f>
        <v>0.2572</v>
      </c>
      <c r="P12" s="3" t="s">
        <v>29</v>
      </c>
      <c r="Q12" s="3" t="s">
        <v>30</v>
      </c>
      <c r="R12" s="4" t="n">
        <f aca="false">L12/(1+0.0941)</f>
        <v>786874.846906133</v>
      </c>
      <c r="S12" s="4" t="n">
        <f aca="false">L12</f>
        <v>860919.77</v>
      </c>
      <c r="T12" s="5" t="n">
        <f aca="false">IFERROR(S12/R12,0)</f>
        <v>1.0941</v>
      </c>
      <c r="U12" s="5" t="n">
        <f aca="false">IFERROR((L12-V12)/V12,0)</f>
        <v>-0.1783</v>
      </c>
      <c r="V12" s="4" t="n">
        <f aca="false">L12/0.8217</f>
        <v>1047730.03529269</v>
      </c>
    </row>
    <row r="13" customFormat="false" ht="15" hidden="false" customHeight="false" outlineLevel="0" collapsed="false">
      <c r="A13" s="2" t="n">
        <v>45350</v>
      </c>
      <c r="B13" s="3" t="s">
        <v>52</v>
      </c>
      <c r="C13" s="3" t="s">
        <v>23</v>
      </c>
      <c r="D13" s="3" t="n">
        <v>2024</v>
      </c>
      <c r="E13" s="3" t="s">
        <v>31</v>
      </c>
      <c r="F13" s="3" t="s">
        <v>32</v>
      </c>
      <c r="G13" s="3" t="s">
        <v>42</v>
      </c>
      <c r="H13" s="3" t="s">
        <v>43</v>
      </c>
      <c r="I13" s="3" t="s">
        <v>58</v>
      </c>
      <c r="J13" s="3" t="n">
        <v>412</v>
      </c>
      <c r="K13" s="4" t="n">
        <v>2667.03</v>
      </c>
      <c r="L13" s="4" t="n">
        <f aca="false">J13*K13</f>
        <v>1098816.36</v>
      </c>
      <c r="M13" s="4" t="n">
        <f aca="false">L13*0.5187</f>
        <v>569956.045932</v>
      </c>
      <c r="N13" s="4" t="n">
        <f aca="false">L13-M13</f>
        <v>528860.314068</v>
      </c>
      <c r="O13" s="5" t="n">
        <f aca="false">IFERROR(N13/L13,0)</f>
        <v>0.4813</v>
      </c>
      <c r="P13" s="3" t="s">
        <v>29</v>
      </c>
      <c r="Q13" s="3" t="s">
        <v>36</v>
      </c>
      <c r="R13" s="4" t="n">
        <f aca="false">L13/(1+0.1812)</f>
        <v>930254.283779208</v>
      </c>
      <c r="S13" s="4" t="n">
        <f aca="false">L13</f>
        <v>1098816.36</v>
      </c>
      <c r="T13" s="5" t="n">
        <f aca="false">IFERROR(S13/R13,0)</f>
        <v>1.1812</v>
      </c>
      <c r="U13" s="5" t="n">
        <f aca="false">IFERROR((L13-V13)/V13,0)</f>
        <v>0.1256</v>
      </c>
      <c r="V13" s="4" t="n">
        <f aca="false">L13/1.1256</f>
        <v>976205.010660981</v>
      </c>
    </row>
    <row r="14" customFormat="false" ht="15" hidden="false" customHeight="false" outlineLevel="0" collapsed="false">
      <c r="A14" s="2" t="n">
        <v>45353</v>
      </c>
      <c r="B14" s="3" t="s">
        <v>59</v>
      </c>
      <c r="C14" s="3" t="s">
        <v>23</v>
      </c>
      <c r="D14" s="3" t="n">
        <v>2024</v>
      </c>
      <c r="E14" s="3" t="s">
        <v>31</v>
      </c>
      <c r="F14" s="3" t="s">
        <v>60</v>
      </c>
      <c r="G14" s="3" t="s">
        <v>61</v>
      </c>
      <c r="H14" s="3" t="s">
        <v>40</v>
      </c>
      <c r="I14" s="3" t="s">
        <v>57</v>
      </c>
      <c r="J14" s="3" t="n">
        <v>126</v>
      </c>
      <c r="K14" s="4" t="n">
        <v>6869.34</v>
      </c>
      <c r="L14" s="4" t="n">
        <f aca="false">J14*K14</f>
        <v>865536.84</v>
      </c>
      <c r="M14" s="4" t="n">
        <f aca="false">L14*0.5218</f>
        <v>451637.123112</v>
      </c>
      <c r="N14" s="4" t="n">
        <f aca="false">L14-M14</f>
        <v>413899.716888</v>
      </c>
      <c r="O14" s="5" t="n">
        <f aca="false">IFERROR(N14/L14,0)</f>
        <v>0.4782</v>
      </c>
      <c r="P14" s="3" t="s">
        <v>29</v>
      </c>
      <c r="Q14" s="3" t="s">
        <v>30</v>
      </c>
      <c r="R14" s="4" t="n">
        <f aca="false">L14/(1+0.0704)</f>
        <v>808610.650224215</v>
      </c>
      <c r="S14" s="4" t="n">
        <f aca="false">L14</f>
        <v>865536.84</v>
      </c>
      <c r="T14" s="5" t="n">
        <f aca="false">IFERROR(S14/R14,0)</f>
        <v>1.0704</v>
      </c>
      <c r="U14" s="5" t="n">
        <f aca="false">IFERROR((L14-V14)/V14,0)</f>
        <v>0.2121</v>
      </c>
      <c r="V14" s="4" t="n">
        <f aca="false">L14/1.2121</f>
        <v>714080.389406815</v>
      </c>
    </row>
    <row r="15" customFormat="false" ht="15" hidden="false" customHeight="false" outlineLevel="0" collapsed="false">
      <c r="A15" s="2" t="n">
        <v>45371</v>
      </c>
      <c r="B15" s="3" t="s">
        <v>59</v>
      </c>
      <c r="C15" s="3" t="s">
        <v>23</v>
      </c>
      <c r="D15" s="3" t="n">
        <v>2024</v>
      </c>
      <c r="E15" s="3" t="s">
        <v>53</v>
      </c>
      <c r="F15" s="3" t="s">
        <v>55</v>
      </c>
      <c r="G15" s="3" t="s">
        <v>61</v>
      </c>
      <c r="H15" s="3" t="s">
        <v>40</v>
      </c>
      <c r="I15" s="3" t="s">
        <v>51</v>
      </c>
      <c r="J15" s="3" t="n">
        <v>488</v>
      </c>
      <c r="K15" s="4" t="n">
        <v>6916.09</v>
      </c>
      <c r="L15" s="4" t="n">
        <f aca="false">J15*K15</f>
        <v>3375051.92</v>
      </c>
      <c r="M15" s="4" t="n">
        <f aca="false">L15*0.5255</f>
        <v>1773589.78396</v>
      </c>
      <c r="N15" s="4" t="n">
        <f aca="false">L15-M15</f>
        <v>1601462.13604</v>
      </c>
      <c r="O15" s="5" t="n">
        <f aca="false">IFERROR(N15/L15,0)</f>
        <v>0.4745</v>
      </c>
      <c r="P15" s="3" t="s">
        <v>35</v>
      </c>
      <c r="Q15" s="3" t="s">
        <v>36</v>
      </c>
      <c r="R15" s="4" t="n">
        <f aca="false">L15/(1+0.1128)</f>
        <v>3032936.66427031</v>
      </c>
      <c r="S15" s="4" t="n">
        <f aca="false">L15</f>
        <v>3375051.92</v>
      </c>
      <c r="T15" s="5" t="n">
        <f aca="false">IFERROR(S15/R15,0)</f>
        <v>1.1128</v>
      </c>
      <c r="U15" s="5" t="n">
        <f aca="false">IFERROR((L15-V15)/V15,0)</f>
        <v>-0.1099</v>
      </c>
      <c r="V15" s="4" t="n">
        <f aca="false">L15/0.8901</f>
        <v>3791767.12728907</v>
      </c>
    </row>
    <row r="16" customFormat="false" ht="15" hidden="false" customHeight="false" outlineLevel="0" collapsed="false">
      <c r="A16" s="2" t="n">
        <v>45386</v>
      </c>
      <c r="B16" s="3" t="s">
        <v>62</v>
      </c>
      <c r="C16" s="3" t="s">
        <v>63</v>
      </c>
      <c r="D16" s="3" t="n">
        <v>2024</v>
      </c>
      <c r="E16" s="3" t="s">
        <v>53</v>
      </c>
      <c r="F16" s="3" t="s">
        <v>55</v>
      </c>
      <c r="G16" s="3" t="s">
        <v>64</v>
      </c>
      <c r="H16" s="3" t="s">
        <v>65</v>
      </c>
      <c r="I16" s="3" t="s">
        <v>66</v>
      </c>
      <c r="J16" s="3" t="n">
        <v>466</v>
      </c>
      <c r="K16" s="4" t="n">
        <v>1790.24</v>
      </c>
      <c r="L16" s="4" t="n">
        <f aca="false">J16*K16</f>
        <v>834251.84</v>
      </c>
      <c r="M16" s="4" t="n">
        <f aca="false">L16*0.746</f>
        <v>622351.87264</v>
      </c>
      <c r="N16" s="4" t="n">
        <f aca="false">L16-M16</f>
        <v>211899.96736</v>
      </c>
      <c r="O16" s="5" t="n">
        <f aca="false">IFERROR(N16/L16,0)</f>
        <v>0.254</v>
      </c>
      <c r="P16" s="3" t="s">
        <v>29</v>
      </c>
      <c r="Q16" s="3" t="s">
        <v>30</v>
      </c>
      <c r="R16" s="4" t="n">
        <f aca="false">L16/(1+-0.1804)</f>
        <v>1017876.81795998</v>
      </c>
      <c r="S16" s="4" t="n">
        <f aca="false">L16</f>
        <v>834251.84</v>
      </c>
      <c r="T16" s="5" t="n">
        <f aca="false">IFERROR(S16/R16,0)</f>
        <v>0.8196</v>
      </c>
      <c r="U16" s="5" t="n">
        <f aca="false">IFERROR((L16-V16)/V16,0)</f>
        <v>0.1563</v>
      </c>
      <c r="V16" s="4" t="n">
        <f aca="false">L16/1.1563</f>
        <v>721483.905560841</v>
      </c>
    </row>
    <row r="17" customFormat="false" ht="15" hidden="false" customHeight="false" outlineLevel="0" collapsed="false">
      <c r="A17" s="2" t="n">
        <v>45388</v>
      </c>
      <c r="B17" s="3" t="s">
        <v>62</v>
      </c>
      <c r="C17" s="3" t="s">
        <v>63</v>
      </c>
      <c r="D17" s="3" t="n">
        <v>2024</v>
      </c>
      <c r="E17" s="3" t="s">
        <v>47</v>
      </c>
      <c r="F17" s="3" t="s">
        <v>50</v>
      </c>
      <c r="G17" s="3" t="s">
        <v>42</v>
      </c>
      <c r="H17" s="3" t="s">
        <v>65</v>
      </c>
      <c r="I17" s="3" t="s">
        <v>66</v>
      </c>
      <c r="J17" s="3" t="n">
        <v>254</v>
      </c>
      <c r="K17" s="4" t="n">
        <v>6748.62</v>
      </c>
      <c r="L17" s="4" t="n">
        <f aca="false">J17*K17</f>
        <v>1714149.48</v>
      </c>
      <c r="M17" s="4" t="n">
        <f aca="false">L17*0.6744</f>
        <v>1156022.409312</v>
      </c>
      <c r="N17" s="4" t="n">
        <f aca="false">L17-M17</f>
        <v>558127.070688</v>
      </c>
      <c r="O17" s="5" t="n">
        <f aca="false">IFERROR(N17/L17,0)</f>
        <v>0.3256</v>
      </c>
      <c r="P17" s="3" t="s">
        <v>35</v>
      </c>
      <c r="Q17" s="3" t="s">
        <v>36</v>
      </c>
      <c r="R17" s="4" t="n">
        <f aca="false">L17/(1+0.1607)</f>
        <v>1476823.88214009</v>
      </c>
      <c r="S17" s="4" t="n">
        <f aca="false">L17</f>
        <v>1714149.48</v>
      </c>
      <c r="T17" s="5" t="n">
        <f aca="false">IFERROR(S17/R17,0)</f>
        <v>1.1607</v>
      </c>
      <c r="U17" s="5" t="n">
        <f aca="false">IFERROR((L17-V17)/V17,0)</f>
        <v>0.181</v>
      </c>
      <c r="V17" s="4" t="n">
        <f aca="false">L17/1.181</f>
        <v>1451439.01778154</v>
      </c>
    </row>
    <row r="18" customFormat="false" ht="15" hidden="false" customHeight="false" outlineLevel="0" collapsed="false">
      <c r="A18" s="2" t="n">
        <v>45413</v>
      </c>
      <c r="B18" s="3" t="s">
        <v>67</v>
      </c>
      <c r="C18" s="3" t="s">
        <v>63</v>
      </c>
      <c r="D18" s="3" t="n">
        <v>2024</v>
      </c>
      <c r="E18" s="3" t="s">
        <v>38</v>
      </c>
      <c r="F18" s="3" t="s">
        <v>39</v>
      </c>
      <c r="G18" s="3" t="s">
        <v>33</v>
      </c>
      <c r="H18" s="3" t="s">
        <v>43</v>
      </c>
      <c r="I18" s="3" t="s">
        <v>58</v>
      </c>
      <c r="J18" s="3" t="n">
        <v>36</v>
      </c>
      <c r="K18" s="4" t="n">
        <v>6590.07</v>
      </c>
      <c r="L18" s="4" t="n">
        <f aca="false">J18*K18</f>
        <v>237242.52</v>
      </c>
      <c r="M18" s="4" t="n">
        <f aca="false">L18*0.6397</f>
        <v>151764.040044</v>
      </c>
      <c r="N18" s="4" t="n">
        <f aca="false">L18-M18</f>
        <v>85478.479956</v>
      </c>
      <c r="O18" s="5" t="n">
        <f aca="false">IFERROR(N18/L18,0)</f>
        <v>0.3603</v>
      </c>
      <c r="P18" s="3" t="s">
        <v>29</v>
      </c>
      <c r="Q18" s="3" t="s">
        <v>36</v>
      </c>
      <c r="R18" s="4" t="n">
        <f aca="false">L18/(1+-0.0285)</f>
        <v>244202.285126094</v>
      </c>
      <c r="S18" s="4" t="n">
        <f aca="false">L18</f>
        <v>237242.52</v>
      </c>
      <c r="T18" s="5" t="n">
        <f aca="false">IFERROR(S18/R18,0)</f>
        <v>0.9715</v>
      </c>
      <c r="U18" s="5" t="n">
        <f aca="false">IFERROR((L18-V18)/V18,0)</f>
        <v>-0.00389999999999998</v>
      </c>
      <c r="V18" s="4" t="n">
        <f aca="false">L18/0.9961</f>
        <v>238171.388414818</v>
      </c>
    </row>
    <row r="19" customFormat="false" ht="15" hidden="false" customHeight="false" outlineLevel="0" collapsed="false">
      <c r="A19" s="2" t="n">
        <v>45426</v>
      </c>
      <c r="B19" s="3" t="s">
        <v>67</v>
      </c>
      <c r="C19" s="3" t="s">
        <v>63</v>
      </c>
      <c r="D19" s="3" t="n">
        <v>2024</v>
      </c>
      <c r="E19" s="3" t="s">
        <v>38</v>
      </c>
      <c r="F19" s="3" t="s">
        <v>45</v>
      </c>
      <c r="G19" s="3" t="s">
        <v>37</v>
      </c>
      <c r="H19" s="3" t="s">
        <v>43</v>
      </c>
      <c r="I19" s="3" t="s">
        <v>44</v>
      </c>
      <c r="J19" s="3" t="n">
        <v>469</v>
      </c>
      <c r="K19" s="4" t="n">
        <v>5825.37</v>
      </c>
      <c r="L19" s="4" t="n">
        <f aca="false">J19*K19</f>
        <v>2732098.53</v>
      </c>
      <c r="M19" s="4" t="n">
        <f aca="false">L19*0.6296</f>
        <v>1720129.234488</v>
      </c>
      <c r="N19" s="4" t="n">
        <f aca="false">L19-M19</f>
        <v>1011969.295512</v>
      </c>
      <c r="O19" s="5" t="n">
        <f aca="false">IFERROR(N19/L19,0)</f>
        <v>0.3704</v>
      </c>
      <c r="P19" s="3" t="s">
        <v>35</v>
      </c>
      <c r="Q19" s="3" t="s">
        <v>30</v>
      </c>
      <c r="R19" s="4" t="n">
        <f aca="false">L19/(1+0.086)</f>
        <v>2515744.50276243</v>
      </c>
      <c r="S19" s="4" t="n">
        <f aca="false">L19</f>
        <v>2732098.53</v>
      </c>
      <c r="T19" s="5" t="n">
        <f aca="false">IFERROR(S19/R19,0)</f>
        <v>1.086</v>
      </c>
      <c r="U19" s="5" t="n">
        <f aca="false">IFERROR((L19-V19)/V19,0)</f>
        <v>-0.0525</v>
      </c>
      <c r="V19" s="4" t="n">
        <f aca="false">L19/0.9475</f>
        <v>2883481.29815303</v>
      </c>
    </row>
    <row r="20" customFormat="false" ht="15" hidden="false" customHeight="false" outlineLevel="0" collapsed="false">
      <c r="A20" s="2" t="n">
        <v>45427</v>
      </c>
      <c r="B20" s="3" t="s">
        <v>67</v>
      </c>
      <c r="C20" s="3" t="s">
        <v>63</v>
      </c>
      <c r="D20" s="3" t="n">
        <v>2024</v>
      </c>
      <c r="E20" s="3" t="s">
        <v>24</v>
      </c>
      <c r="F20" s="3" t="s">
        <v>25</v>
      </c>
      <c r="G20" s="3" t="s">
        <v>33</v>
      </c>
      <c r="H20" s="3" t="s">
        <v>65</v>
      </c>
      <c r="I20" s="3" t="s">
        <v>68</v>
      </c>
      <c r="J20" s="3" t="n">
        <v>388</v>
      </c>
      <c r="K20" s="4" t="n">
        <v>462.89</v>
      </c>
      <c r="L20" s="4" t="n">
        <f aca="false">J20*K20</f>
        <v>179601.32</v>
      </c>
      <c r="M20" s="4" t="n">
        <f aca="false">L20*0.6762</f>
        <v>121446.412584</v>
      </c>
      <c r="N20" s="4" t="n">
        <f aca="false">L20-M20</f>
        <v>58154.907416</v>
      </c>
      <c r="O20" s="5" t="n">
        <f aca="false">IFERROR(N20/L20,0)</f>
        <v>0.3238</v>
      </c>
      <c r="P20" s="3" t="s">
        <v>29</v>
      </c>
      <c r="Q20" s="3" t="s">
        <v>30</v>
      </c>
      <c r="R20" s="4" t="n">
        <f aca="false">L20/(1+0.1531)</f>
        <v>155755.199028705</v>
      </c>
      <c r="S20" s="4" t="n">
        <f aca="false">L20</f>
        <v>179601.32</v>
      </c>
      <c r="T20" s="5" t="n">
        <f aca="false">IFERROR(S20/R20,0)</f>
        <v>1.1531</v>
      </c>
      <c r="U20" s="5" t="n">
        <f aca="false">IFERROR((L20-V20)/V20,0)</f>
        <v>0.0397</v>
      </c>
      <c r="V20" s="4" t="n">
        <f aca="false">L20/1.0397</f>
        <v>172743.406751948</v>
      </c>
    </row>
    <row r="21" customFormat="false" ht="15" hidden="false" customHeight="false" outlineLevel="0" collapsed="false">
      <c r="A21" s="2" t="n">
        <v>45433</v>
      </c>
      <c r="B21" s="3" t="s">
        <v>67</v>
      </c>
      <c r="C21" s="3" t="s">
        <v>63</v>
      </c>
      <c r="D21" s="3" t="n">
        <v>2024</v>
      </c>
      <c r="E21" s="3" t="s">
        <v>24</v>
      </c>
      <c r="F21" s="3" t="s">
        <v>69</v>
      </c>
      <c r="G21" s="3" t="s">
        <v>70</v>
      </c>
      <c r="H21" s="3" t="s">
        <v>43</v>
      </c>
      <c r="I21" s="3" t="s">
        <v>46</v>
      </c>
      <c r="J21" s="3" t="n">
        <v>410</v>
      </c>
      <c r="K21" s="4" t="n">
        <v>4584.92</v>
      </c>
      <c r="L21" s="4" t="n">
        <f aca="false">J21*K21</f>
        <v>1879817.2</v>
      </c>
      <c r="M21" s="4" t="n">
        <f aca="false">L21*0.6689</f>
        <v>1257409.72508</v>
      </c>
      <c r="N21" s="4" t="n">
        <f aca="false">L21-M21</f>
        <v>622407.47492</v>
      </c>
      <c r="O21" s="5" t="n">
        <f aca="false">IFERROR(N21/L21,0)</f>
        <v>0.3311</v>
      </c>
      <c r="P21" s="3" t="s">
        <v>35</v>
      </c>
      <c r="Q21" s="3" t="s">
        <v>30</v>
      </c>
      <c r="R21" s="4" t="n">
        <f aca="false">L21/(1+-0.1645)</f>
        <v>2249930.81986834</v>
      </c>
      <c r="S21" s="4" t="n">
        <f aca="false">L21</f>
        <v>1879817.2</v>
      </c>
      <c r="T21" s="5" t="n">
        <f aca="false">IFERROR(S21/R21,0)</f>
        <v>0.8355</v>
      </c>
      <c r="U21" s="5" t="n">
        <f aca="false">IFERROR((L21-V21)/V21,0)</f>
        <v>0.2463</v>
      </c>
      <c r="V21" s="4" t="n">
        <f aca="false">L21/1.2463</f>
        <v>1508318.38241194</v>
      </c>
    </row>
    <row r="22" customFormat="false" ht="15" hidden="false" customHeight="false" outlineLevel="0" collapsed="false">
      <c r="A22" s="2" t="n">
        <v>45438</v>
      </c>
      <c r="B22" s="3" t="s">
        <v>67</v>
      </c>
      <c r="C22" s="3" t="s">
        <v>63</v>
      </c>
      <c r="D22" s="3" t="n">
        <v>2024</v>
      </c>
      <c r="E22" s="3" t="s">
        <v>47</v>
      </c>
      <c r="F22" s="3" t="s">
        <v>48</v>
      </c>
      <c r="G22" s="3" t="s">
        <v>37</v>
      </c>
      <c r="H22" s="3" t="s">
        <v>40</v>
      </c>
      <c r="I22" s="3" t="s">
        <v>57</v>
      </c>
      <c r="J22" s="3" t="n">
        <v>97</v>
      </c>
      <c r="K22" s="4" t="n">
        <v>5002.45</v>
      </c>
      <c r="L22" s="4" t="n">
        <f aca="false">J22*K22</f>
        <v>485237.65</v>
      </c>
      <c r="M22" s="4" t="n">
        <f aca="false">L22*0.5011</f>
        <v>243152.586415</v>
      </c>
      <c r="N22" s="4" t="n">
        <f aca="false">L22-M22</f>
        <v>242085.063585</v>
      </c>
      <c r="O22" s="5" t="n">
        <f aca="false">IFERROR(N22/L22,0)</f>
        <v>0.4989</v>
      </c>
      <c r="P22" s="3" t="s">
        <v>29</v>
      </c>
      <c r="Q22" s="3" t="s">
        <v>30</v>
      </c>
      <c r="R22" s="4" t="n">
        <f aca="false">L22/(1+0.0325)</f>
        <v>469963.82566586</v>
      </c>
      <c r="S22" s="4" t="n">
        <f aca="false">L22</f>
        <v>485237.65</v>
      </c>
      <c r="T22" s="5" t="n">
        <f aca="false">IFERROR(S22/R22,0)</f>
        <v>1.0325</v>
      </c>
      <c r="U22" s="5" t="n">
        <f aca="false">IFERROR((L22-V22)/V22,0)</f>
        <v>-0.0313</v>
      </c>
      <c r="V22" s="4" t="n">
        <f aca="false">L22/0.9687</f>
        <v>500916.33116548</v>
      </c>
    </row>
    <row r="23" customFormat="false" ht="15" hidden="false" customHeight="false" outlineLevel="0" collapsed="false">
      <c r="A23" s="2" t="n">
        <v>45439</v>
      </c>
      <c r="B23" s="3" t="s">
        <v>67</v>
      </c>
      <c r="C23" s="3" t="s">
        <v>63</v>
      </c>
      <c r="D23" s="3" t="n">
        <v>2024</v>
      </c>
      <c r="E23" s="3" t="s">
        <v>38</v>
      </c>
      <c r="F23" s="3" t="s">
        <v>39</v>
      </c>
      <c r="G23" s="3" t="s">
        <v>56</v>
      </c>
      <c r="H23" s="3" t="s">
        <v>40</v>
      </c>
      <c r="I23" s="3" t="s">
        <v>51</v>
      </c>
      <c r="J23" s="3" t="n">
        <v>348</v>
      </c>
      <c r="K23" s="4" t="n">
        <v>4934.57</v>
      </c>
      <c r="L23" s="4" t="n">
        <f aca="false">J23*K23</f>
        <v>1717230.36</v>
      </c>
      <c r="M23" s="4" t="n">
        <f aca="false">L23*0.6951</f>
        <v>1193646.823236</v>
      </c>
      <c r="N23" s="4" t="n">
        <f aca="false">L23-M23</f>
        <v>523583.536764</v>
      </c>
      <c r="O23" s="5" t="n">
        <f aca="false">IFERROR(N23/L23,0)</f>
        <v>0.3049</v>
      </c>
      <c r="P23" s="3" t="s">
        <v>35</v>
      </c>
      <c r="Q23" s="3" t="s">
        <v>36</v>
      </c>
      <c r="R23" s="4" t="n">
        <f aca="false">L23/(1+0.0794)</f>
        <v>1590911.95108394</v>
      </c>
      <c r="S23" s="4" t="n">
        <f aca="false">L23</f>
        <v>1717230.36</v>
      </c>
      <c r="T23" s="5" t="n">
        <f aca="false">IFERROR(S23/R23,0)</f>
        <v>1.0794</v>
      </c>
      <c r="U23" s="5" t="n">
        <f aca="false">IFERROR((L23-V23)/V23,0)</f>
        <v>0.2772</v>
      </c>
      <c r="V23" s="4" t="n">
        <f aca="false">L23/1.2772</f>
        <v>1344527.37237707</v>
      </c>
    </row>
    <row r="24" customFormat="false" ht="15" hidden="false" customHeight="false" outlineLevel="0" collapsed="false">
      <c r="A24" s="2" t="n">
        <v>45439</v>
      </c>
      <c r="B24" s="3" t="s">
        <v>67</v>
      </c>
      <c r="C24" s="3" t="s">
        <v>63</v>
      </c>
      <c r="D24" s="3" t="n">
        <v>2024</v>
      </c>
      <c r="E24" s="3" t="s">
        <v>31</v>
      </c>
      <c r="F24" s="3" t="s">
        <v>60</v>
      </c>
      <c r="G24" s="3" t="s">
        <v>64</v>
      </c>
      <c r="H24" s="3" t="s">
        <v>71</v>
      </c>
      <c r="I24" s="3" t="s">
        <v>72</v>
      </c>
      <c r="J24" s="3" t="n">
        <v>112</v>
      </c>
      <c r="K24" s="4" t="n">
        <v>1817.16</v>
      </c>
      <c r="L24" s="4" t="n">
        <f aca="false">J24*K24</f>
        <v>203521.92</v>
      </c>
      <c r="M24" s="4" t="n">
        <f aca="false">L24*0.6038</f>
        <v>122886.535296</v>
      </c>
      <c r="N24" s="4" t="n">
        <f aca="false">L24-M24</f>
        <v>80635.384704</v>
      </c>
      <c r="O24" s="5" t="n">
        <f aca="false">IFERROR(N24/L24,0)</f>
        <v>0.3962</v>
      </c>
      <c r="P24" s="3" t="s">
        <v>29</v>
      </c>
      <c r="Q24" s="3" t="s">
        <v>36</v>
      </c>
      <c r="R24" s="4" t="n">
        <f aca="false">L24/(1+0.0977)</f>
        <v>185407.597704291</v>
      </c>
      <c r="S24" s="4" t="n">
        <f aca="false">L24</f>
        <v>203521.92</v>
      </c>
      <c r="T24" s="5" t="n">
        <f aca="false">IFERROR(S24/R24,0)</f>
        <v>1.0977</v>
      </c>
      <c r="U24" s="5" t="n">
        <f aca="false">IFERROR((L24-V24)/V24,0)</f>
        <v>0.1117</v>
      </c>
      <c r="V24" s="4" t="n">
        <f aca="false">L24/1.1117</f>
        <v>183072.699469281</v>
      </c>
    </row>
    <row r="25" customFormat="false" ht="15" hidden="false" customHeight="false" outlineLevel="0" collapsed="false">
      <c r="A25" s="2" t="n">
        <v>45449</v>
      </c>
      <c r="B25" s="3" t="s">
        <v>73</v>
      </c>
      <c r="C25" s="3" t="s">
        <v>63</v>
      </c>
      <c r="D25" s="3" t="n">
        <v>2024</v>
      </c>
      <c r="E25" s="3" t="s">
        <v>31</v>
      </c>
      <c r="F25" s="3" t="s">
        <v>74</v>
      </c>
      <c r="G25" s="3" t="s">
        <v>42</v>
      </c>
      <c r="H25" s="3" t="s">
        <v>71</v>
      </c>
      <c r="I25" s="3" t="s">
        <v>75</v>
      </c>
      <c r="J25" s="3" t="n">
        <v>163</v>
      </c>
      <c r="K25" s="4" t="n">
        <v>5562.66</v>
      </c>
      <c r="L25" s="4" t="n">
        <f aca="false">J25*K25</f>
        <v>906713.58</v>
      </c>
      <c r="M25" s="4" t="n">
        <f aca="false">L25*0.5157</f>
        <v>467592.193206</v>
      </c>
      <c r="N25" s="4" t="n">
        <f aca="false">L25-M25</f>
        <v>439121.386794</v>
      </c>
      <c r="O25" s="5" t="n">
        <f aca="false">IFERROR(N25/L25,0)</f>
        <v>0.4843</v>
      </c>
      <c r="P25" s="3" t="s">
        <v>35</v>
      </c>
      <c r="Q25" s="3" t="s">
        <v>30</v>
      </c>
      <c r="R25" s="4" t="n">
        <f aca="false">L25/(1+0.0512)</f>
        <v>862550.970319635</v>
      </c>
      <c r="S25" s="4" t="n">
        <f aca="false">L25</f>
        <v>906713.58</v>
      </c>
      <c r="T25" s="5" t="n">
        <f aca="false">IFERROR(S25/R25,0)</f>
        <v>1.0512</v>
      </c>
      <c r="U25" s="5" t="n">
        <f aca="false">IFERROR((L25-V25)/V25,0)</f>
        <v>-0.0404</v>
      </c>
      <c r="V25" s="4" t="n">
        <f aca="false">L25/0.9596</f>
        <v>944887.015423093</v>
      </c>
    </row>
    <row r="26" customFormat="false" ht="15" hidden="false" customHeight="false" outlineLevel="0" collapsed="false">
      <c r="A26" s="2" t="n">
        <v>45450</v>
      </c>
      <c r="B26" s="3" t="s">
        <v>73</v>
      </c>
      <c r="C26" s="3" t="s">
        <v>63</v>
      </c>
      <c r="D26" s="3" t="n">
        <v>2024</v>
      </c>
      <c r="E26" s="3" t="s">
        <v>24</v>
      </c>
      <c r="F26" s="3" t="s">
        <v>76</v>
      </c>
      <c r="G26" s="3" t="s">
        <v>70</v>
      </c>
      <c r="H26" s="3" t="s">
        <v>65</v>
      </c>
      <c r="I26" s="3" t="s">
        <v>66</v>
      </c>
      <c r="J26" s="3" t="n">
        <v>321</v>
      </c>
      <c r="K26" s="4" t="n">
        <v>5481.05</v>
      </c>
      <c r="L26" s="4" t="n">
        <f aca="false">J26*K26</f>
        <v>1759417.05</v>
      </c>
      <c r="M26" s="4" t="n">
        <f aca="false">L26*0.7029</f>
        <v>1236694.244445</v>
      </c>
      <c r="N26" s="4" t="n">
        <f aca="false">L26-M26</f>
        <v>522722.805555</v>
      </c>
      <c r="O26" s="5" t="n">
        <f aca="false">IFERROR(N26/L26,0)</f>
        <v>0.2971</v>
      </c>
      <c r="P26" s="3" t="s">
        <v>35</v>
      </c>
      <c r="Q26" s="3" t="s">
        <v>36</v>
      </c>
      <c r="R26" s="4" t="n">
        <f aca="false">L26/(1+0.0493)</f>
        <v>1676753.12112837</v>
      </c>
      <c r="S26" s="4" t="n">
        <f aca="false">L26</f>
        <v>1759417.05</v>
      </c>
      <c r="T26" s="5" t="n">
        <f aca="false">IFERROR(S26/R26,0)</f>
        <v>1.0493</v>
      </c>
      <c r="U26" s="5" t="n">
        <f aca="false">IFERROR((L26-V26)/V26,0)</f>
        <v>-0.0531000000000001</v>
      </c>
      <c r="V26" s="4" t="n">
        <f aca="false">L26/0.9469</f>
        <v>1858081.15957334</v>
      </c>
    </row>
    <row r="27" customFormat="false" ht="15" hidden="false" customHeight="false" outlineLevel="0" collapsed="false">
      <c r="A27" s="2" t="n">
        <v>45455</v>
      </c>
      <c r="B27" s="3" t="s">
        <v>73</v>
      </c>
      <c r="C27" s="3" t="s">
        <v>63</v>
      </c>
      <c r="D27" s="3" t="n">
        <v>2024</v>
      </c>
      <c r="E27" s="3" t="s">
        <v>53</v>
      </c>
      <c r="F27" s="3" t="s">
        <v>77</v>
      </c>
      <c r="G27" s="3" t="s">
        <v>37</v>
      </c>
      <c r="H27" s="3" t="s">
        <v>27</v>
      </c>
      <c r="I27" s="3" t="s">
        <v>78</v>
      </c>
      <c r="J27" s="3" t="n">
        <v>48</v>
      </c>
      <c r="K27" s="4" t="n">
        <v>2041.47</v>
      </c>
      <c r="L27" s="4" t="n">
        <f aca="false">J27*K27</f>
        <v>97990.56</v>
      </c>
      <c r="M27" s="4" t="n">
        <f aca="false">L27*0.5639</f>
        <v>55256.876784</v>
      </c>
      <c r="N27" s="4" t="n">
        <f aca="false">L27-M27</f>
        <v>42733.683216</v>
      </c>
      <c r="O27" s="5" t="n">
        <f aca="false">IFERROR(N27/L27,0)</f>
        <v>0.4361</v>
      </c>
      <c r="P27" s="3" t="s">
        <v>35</v>
      </c>
      <c r="Q27" s="3" t="s">
        <v>36</v>
      </c>
      <c r="R27" s="4" t="n">
        <f aca="false">L27/(1+-0.0063)</f>
        <v>98611.8144309148</v>
      </c>
      <c r="S27" s="4" t="n">
        <f aca="false">L27</f>
        <v>97990.56</v>
      </c>
      <c r="T27" s="5" t="n">
        <f aca="false">IFERROR(S27/R27,0)</f>
        <v>0.9937</v>
      </c>
      <c r="U27" s="5" t="n">
        <f aca="false">IFERROR((L27-V27)/V27,0)</f>
        <v>0.1934</v>
      </c>
      <c r="V27" s="4" t="n">
        <f aca="false">L27/1.1934</f>
        <v>82110.407239819</v>
      </c>
    </row>
    <row r="28" customFormat="false" ht="15" hidden="false" customHeight="false" outlineLevel="0" collapsed="false">
      <c r="A28" s="2" t="n">
        <v>45458</v>
      </c>
      <c r="B28" s="3" t="s">
        <v>73</v>
      </c>
      <c r="C28" s="3" t="s">
        <v>63</v>
      </c>
      <c r="D28" s="3" t="n">
        <v>2024</v>
      </c>
      <c r="E28" s="3" t="s">
        <v>38</v>
      </c>
      <c r="F28" s="3" t="s">
        <v>79</v>
      </c>
      <c r="G28" s="3" t="s">
        <v>33</v>
      </c>
      <c r="H28" s="3" t="s">
        <v>65</v>
      </c>
      <c r="I28" s="3" t="s">
        <v>68</v>
      </c>
      <c r="J28" s="3" t="n">
        <v>199</v>
      </c>
      <c r="K28" s="4" t="n">
        <v>2835.29</v>
      </c>
      <c r="L28" s="4" t="n">
        <f aca="false">J28*K28</f>
        <v>564222.71</v>
      </c>
      <c r="M28" s="4" t="n">
        <f aca="false">L28*0.6927</f>
        <v>390837.071217</v>
      </c>
      <c r="N28" s="4" t="n">
        <f aca="false">L28-M28</f>
        <v>173385.638783</v>
      </c>
      <c r="O28" s="5" t="n">
        <f aca="false">IFERROR(N28/L28,0)</f>
        <v>0.3073</v>
      </c>
      <c r="P28" s="3" t="s">
        <v>29</v>
      </c>
      <c r="Q28" s="3" t="s">
        <v>30</v>
      </c>
      <c r="R28" s="4" t="n">
        <f aca="false">L28/(1+0.0984)</f>
        <v>513676.902767662</v>
      </c>
      <c r="S28" s="4" t="n">
        <f aca="false">L28</f>
        <v>564222.71</v>
      </c>
      <c r="T28" s="5" t="n">
        <f aca="false">IFERROR(S28/R28,0)</f>
        <v>1.0984</v>
      </c>
      <c r="U28" s="5" t="n">
        <f aca="false">IFERROR((L28-V28)/V28,0)</f>
        <v>-0.1314</v>
      </c>
      <c r="V28" s="4" t="n">
        <f aca="false">L28/0.8686</f>
        <v>649577.147133318</v>
      </c>
    </row>
    <row r="29" customFormat="false" ht="15" hidden="false" customHeight="false" outlineLevel="0" collapsed="false">
      <c r="A29" s="2" t="n">
        <v>45461</v>
      </c>
      <c r="B29" s="3" t="s">
        <v>73</v>
      </c>
      <c r="C29" s="3" t="s">
        <v>63</v>
      </c>
      <c r="D29" s="3" t="n">
        <v>2024</v>
      </c>
      <c r="E29" s="3" t="s">
        <v>31</v>
      </c>
      <c r="F29" s="3" t="s">
        <v>74</v>
      </c>
      <c r="G29" s="3" t="s">
        <v>42</v>
      </c>
      <c r="H29" s="3" t="s">
        <v>65</v>
      </c>
      <c r="I29" s="3" t="s">
        <v>68</v>
      </c>
      <c r="J29" s="3" t="n">
        <v>400</v>
      </c>
      <c r="K29" s="4" t="n">
        <v>7697.64</v>
      </c>
      <c r="L29" s="4" t="n">
        <f aca="false">J29*K29</f>
        <v>3079056</v>
      </c>
      <c r="M29" s="4" t="n">
        <f aca="false">L29*0.7356</f>
        <v>2264953.5936</v>
      </c>
      <c r="N29" s="4" t="n">
        <f aca="false">L29-M29</f>
        <v>814102.4064</v>
      </c>
      <c r="O29" s="5" t="n">
        <f aca="false">IFERROR(N29/L29,0)</f>
        <v>0.2644</v>
      </c>
      <c r="P29" s="3" t="s">
        <v>29</v>
      </c>
      <c r="Q29" s="3" t="s">
        <v>36</v>
      </c>
      <c r="R29" s="4" t="n">
        <f aca="false">L29/(1+0.1487)</f>
        <v>2680470.09663097</v>
      </c>
      <c r="S29" s="4" t="n">
        <f aca="false">L29</f>
        <v>3079056</v>
      </c>
      <c r="T29" s="5" t="n">
        <f aca="false">IFERROR(S29/R29,0)</f>
        <v>1.1487</v>
      </c>
      <c r="U29" s="5" t="n">
        <f aca="false">IFERROR((L29-V29)/V29,0)</f>
        <v>-0.1015</v>
      </c>
      <c r="V29" s="4" t="n">
        <f aca="false">L29/0.8985</f>
        <v>3426884.80801336</v>
      </c>
    </row>
    <row r="30" customFormat="false" ht="15" hidden="false" customHeight="false" outlineLevel="0" collapsed="false">
      <c r="A30" s="2" t="n">
        <v>45465</v>
      </c>
      <c r="B30" s="3" t="s">
        <v>73</v>
      </c>
      <c r="C30" s="3" t="s">
        <v>63</v>
      </c>
      <c r="D30" s="3" t="n">
        <v>2024</v>
      </c>
      <c r="E30" s="3" t="s">
        <v>24</v>
      </c>
      <c r="F30" s="3" t="s">
        <v>25</v>
      </c>
      <c r="G30" s="3" t="s">
        <v>70</v>
      </c>
      <c r="H30" s="3" t="s">
        <v>71</v>
      </c>
      <c r="I30" s="3" t="s">
        <v>72</v>
      </c>
      <c r="J30" s="3" t="n">
        <v>416</v>
      </c>
      <c r="K30" s="4" t="n">
        <v>5931.37</v>
      </c>
      <c r="L30" s="4" t="n">
        <f aca="false">J30*K30</f>
        <v>2467449.92</v>
      </c>
      <c r="M30" s="4" t="n">
        <f aca="false">L30*0.5765</f>
        <v>1422484.87888</v>
      </c>
      <c r="N30" s="4" t="n">
        <f aca="false">L30-M30</f>
        <v>1044965.04112</v>
      </c>
      <c r="O30" s="5" t="n">
        <f aca="false">IFERROR(N30/L30,0)</f>
        <v>0.4235</v>
      </c>
      <c r="P30" s="3" t="s">
        <v>29</v>
      </c>
      <c r="Q30" s="3" t="s">
        <v>36</v>
      </c>
      <c r="R30" s="4" t="n">
        <f aca="false">L30/(1+-0.0992)</f>
        <v>2739176.19893428</v>
      </c>
      <c r="S30" s="4" t="n">
        <f aca="false">L30</f>
        <v>2467449.92</v>
      </c>
      <c r="T30" s="5" t="n">
        <f aca="false">IFERROR(S30/R30,0)</f>
        <v>0.9008</v>
      </c>
      <c r="U30" s="5" t="n">
        <f aca="false">IFERROR((L30-V30)/V30,0)</f>
        <v>0.0171</v>
      </c>
      <c r="V30" s="4" t="n">
        <f aca="false">L30/1.0171</f>
        <v>2425965.90305771</v>
      </c>
    </row>
    <row r="31" customFormat="false" ht="15" hidden="false" customHeight="false" outlineLevel="0" collapsed="false">
      <c r="A31" s="2" t="n">
        <v>45465</v>
      </c>
      <c r="B31" s="3" t="s">
        <v>73</v>
      </c>
      <c r="C31" s="3" t="s">
        <v>63</v>
      </c>
      <c r="D31" s="3" t="n">
        <v>2024</v>
      </c>
      <c r="E31" s="3" t="s">
        <v>31</v>
      </c>
      <c r="F31" s="3" t="s">
        <v>74</v>
      </c>
      <c r="G31" s="3" t="s">
        <v>42</v>
      </c>
      <c r="H31" s="3" t="s">
        <v>71</v>
      </c>
      <c r="I31" s="3" t="s">
        <v>75</v>
      </c>
      <c r="J31" s="3" t="n">
        <v>396</v>
      </c>
      <c r="K31" s="4" t="n">
        <v>3476.49</v>
      </c>
      <c r="L31" s="4" t="n">
        <f aca="false">J31*K31</f>
        <v>1376690.04</v>
      </c>
      <c r="M31" s="4" t="n">
        <f aca="false">L31*0.7031</f>
        <v>967950.767124</v>
      </c>
      <c r="N31" s="4" t="n">
        <f aca="false">L31-M31</f>
        <v>408739.272876</v>
      </c>
      <c r="O31" s="5" t="n">
        <f aca="false">IFERROR(N31/L31,0)</f>
        <v>0.2969</v>
      </c>
      <c r="P31" s="3" t="s">
        <v>35</v>
      </c>
      <c r="Q31" s="3" t="s">
        <v>30</v>
      </c>
      <c r="R31" s="4" t="n">
        <f aca="false">L31/(1+0.1182)</f>
        <v>1231166.19567161</v>
      </c>
      <c r="S31" s="4" t="n">
        <f aca="false">L31</f>
        <v>1376690.04</v>
      </c>
      <c r="T31" s="5" t="n">
        <f aca="false">IFERROR(S31/R31,0)</f>
        <v>1.1182</v>
      </c>
      <c r="U31" s="5" t="n">
        <f aca="false">IFERROR((L31-V31)/V31,0)</f>
        <v>-0.0545</v>
      </c>
      <c r="V31" s="4" t="n">
        <f aca="false">L31/0.9455</f>
        <v>1456044.46324696</v>
      </c>
    </row>
    <row r="32" customFormat="false" ht="15" hidden="false" customHeight="false" outlineLevel="0" collapsed="false">
      <c r="A32" s="2" t="n">
        <v>45465</v>
      </c>
      <c r="B32" s="3" t="s">
        <v>73</v>
      </c>
      <c r="C32" s="3" t="s">
        <v>63</v>
      </c>
      <c r="D32" s="3" t="n">
        <v>2024</v>
      </c>
      <c r="E32" s="3" t="s">
        <v>53</v>
      </c>
      <c r="F32" s="3" t="s">
        <v>55</v>
      </c>
      <c r="G32" s="3" t="s">
        <v>49</v>
      </c>
      <c r="H32" s="3" t="s">
        <v>71</v>
      </c>
      <c r="I32" s="3" t="s">
        <v>72</v>
      </c>
      <c r="J32" s="3" t="n">
        <v>152</v>
      </c>
      <c r="K32" s="4" t="n">
        <v>3681.84</v>
      </c>
      <c r="L32" s="4" t="n">
        <f aca="false">J32*K32</f>
        <v>559639.68</v>
      </c>
      <c r="M32" s="4" t="n">
        <f aca="false">L32*0.6314</f>
        <v>353356.493952</v>
      </c>
      <c r="N32" s="4" t="n">
        <f aca="false">L32-M32</f>
        <v>206283.186048</v>
      </c>
      <c r="O32" s="5" t="n">
        <f aca="false">IFERROR(N32/L32,0)</f>
        <v>0.3686</v>
      </c>
      <c r="P32" s="3" t="s">
        <v>29</v>
      </c>
      <c r="Q32" s="3" t="s">
        <v>30</v>
      </c>
      <c r="R32" s="4" t="n">
        <f aca="false">L32/(1+-0.141)</f>
        <v>651501.373690338</v>
      </c>
      <c r="S32" s="4" t="n">
        <f aca="false">L32</f>
        <v>559639.68</v>
      </c>
      <c r="T32" s="5" t="n">
        <f aca="false">IFERROR(S32/R32,0)</f>
        <v>0.859</v>
      </c>
      <c r="U32" s="5" t="n">
        <f aca="false">IFERROR((L32-V32)/V32,0)</f>
        <v>0.2936</v>
      </c>
      <c r="V32" s="4" t="n">
        <f aca="false">L32/1.2936</f>
        <v>432621.892393321</v>
      </c>
    </row>
    <row r="33" customFormat="false" ht="15" hidden="false" customHeight="false" outlineLevel="0" collapsed="false">
      <c r="A33" s="2" t="n">
        <v>45471</v>
      </c>
      <c r="B33" s="3" t="s">
        <v>73</v>
      </c>
      <c r="C33" s="3" t="s">
        <v>63</v>
      </c>
      <c r="D33" s="3" t="n">
        <v>2024</v>
      </c>
      <c r="E33" s="3" t="s">
        <v>31</v>
      </c>
      <c r="F33" s="3" t="s">
        <v>60</v>
      </c>
      <c r="G33" s="3" t="s">
        <v>33</v>
      </c>
      <c r="H33" s="3" t="s">
        <v>40</v>
      </c>
      <c r="I33" s="3" t="s">
        <v>41</v>
      </c>
      <c r="J33" s="3" t="n">
        <v>413</v>
      </c>
      <c r="K33" s="4" t="n">
        <v>6224.78</v>
      </c>
      <c r="L33" s="4" t="n">
        <f aca="false">J33*K33</f>
        <v>2570834.14</v>
      </c>
      <c r="M33" s="4" t="n">
        <f aca="false">L33*0.5881</f>
        <v>1511907.557734</v>
      </c>
      <c r="N33" s="4" t="n">
        <f aca="false">L33-M33</f>
        <v>1058926.582266</v>
      </c>
      <c r="O33" s="5" t="n">
        <f aca="false">IFERROR(N33/L33,0)</f>
        <v>0.4119</v>
      </c>
      <c r="P33" s="3" t="s">
        <v>29</v>
      </c>
      <c r="Q33" s="3" t="s">
        <v>30</v>
      </c>
      <c r="R33" s="4" t="n">
        <f aca="false">L33/(1+-0.1423)</f>
        <v>2997358.21382768</v>
      </c>
      <c r="S33" s="4" t="n">
        <f aca="false">L33</f>
        <v>2570834.14</v>
      </c>
      <c r="T33" s="5" t="n">
        <f aca="false">IFERROR(S33/R33,0)</f>
        <v>0.8577</v>
      </c>
      <c r="U33" s="5" t="n">
        <f aca="false">IFERROR((L33-V33)/V33,0)</f>
        <v>-0.0661</v>
      </c>
      <c r="V33" s="4" t="n">
        <f aca="false">L33/0.9339</f>
        <v>2752793.81090052</v>
      </c>
    </row>
    <row r="34" customFormat="false" ht="15" hidden="false" customHeight="false" outlineLevel="0" collapsed="false">
      <c r="A34" s="2" t="n">
        <v>45472</v>
      </c>
      <c r="B34" s="3" t="s">
        <v>73</v>
      </c>
      <c r="C34" s="3" t="s">
        <v>63</v>
      </c>
      <c r="D34" s="3" t="n">
        <v>2024</v>
      </c>
      <c r="E34" s="3" t="s">
        <v>31</v>
      </c>
      <c r="F34" s="3" t="s">
        <v>60</v>
      </c>
      <c r="G34" s="3" t="s">
        <v>49</v>
      </c>
      <c r="H34" s="3" t="s">
        <v>43</v>
      </c>
      <c r="I34" s="3" t="s">
        <v>44</v>
      </c>
      <c r="J34" s="3" t="n">
        <v>269</v>
      </c>
      <c r="K34" s="4" t="n">
        <v>6029.78</v>
      </c>
      <c r="L34" s="4" t="n">
        <f aca="false">J34*K34</f>
        <v>1622010.82</v>
      </c>
      <c r="M34" s="4" t="n">
        <f aca="false">L34*0.5186</f>
        <v>841174.811252</v>
      </c>
      <c r="N34" s="4" t="n">
        <f aca="false">L34-M34</f>
        <v>780836.008748</v>
      </c>
      <c r="O34" s="5" t="n">
        <f aca="false">IFERROR(N34/L34,0)</f>
        <v>0.4814</v>
      </c>
      <c r="P34" s="3" t="s">
        <v>29</v>
      </c>
      <c r="Q34" s="3" t="s">
        <v>36</v>
      </c>
      <c r="R34" s="4" t="n">
        <f aca="false">L34/(1+0.0081)</f>
        <v>1608978.09741097</v>
      </c>
      <c r="S34" s="4" t="n">
        <f aca="false">L34</f>
        <v>1622010.82</v>
      </c>
      <c r="T34" s="5" t="n">
        <f aca="false">IFERROR(S34/R34,0)</f>
        <v>1.0081</v>
      </c>
      <c r="U34" s="5" t="n">
        <f aca="false">IFERROR((L34-V34)/V34,0)</f>
        <v>-0.0735</v>
      </c>
      <c r="V34" s="4" t="n">
        <f aca="false">L34/0.9265</f>
        <v>1750686.26011873</v>
      </c>
    </row>
    <row r="35" customFormat="false" ht="15" hidden="false" customHeight="false" outlineLevel="0" collapsed="false">
      <c r="A35" s="2" t="n">
        <v>45479</v>
      </c>
      <c r="B35" s="3" t="s">
        <v>80</v>
      </c>
      <c r="C35" s="3" t="s">
        <v>81</v>
      </c>
      <c r="D35" s="3" t="n">
        <v>2024</v>
      </c>
      <c r="E35" s="3" t="s">
        <v>31</v>
      </c>
      <c r="F35" s="3" t="s">
        <v>32</v>
      </c>
      <c r="G35" s="3" t="s">
        <v>70</v>
      </c>
      <c r="H35" s="3" t="s">
        <v>43</v>
      </c>
      <c r="I35" s="3" t="s">
        <v>46</v>
      </c>
      <c r="J35" s="3" t="n">
        <v>309</v>
      </c>
      <c r="K35" s="4" t="n">
        <v>2286.91</v>
      </c>
      <c r="L35" s="4" t="n">
        <f aca="false">J35*K35</f>
        <v>706655.19</v>
      </c>
      <c r="M35" s="4" t="n">
        <f aca="false">L35*0.549</f>
        <v>387953.69931</v>
      </c>
      <c r="N35" s="4" t="n">
        <f aca="false">L35-M35</f>
        <v>318701.49069</v>
      </c>
      <c r="O35" s="5" t="n">
        <f aca="false">IFERROR(N35/L35,0)</f>
        <v>0.451</v>
      </c>
      <c r="P35" s="3" t="s">
        <v>29</v>
      </c>
      <c r="Q35" s="3" t="s">
        <v>30</v>
      </c>
      <c r="R35" s="4" t="n">
        <f aca="false">L35/(1+-0.1888)</f>
        <v>871123.261834319</v>
      </c>
      <c r="S35" s="4" t="n">
        <f aca="false">L35</f>
        <v>706655.19</v>
      </c>
      <c r="T35" s="5" t="n">
        <f aca="false">IFERROR(S35/R35,0)</f>
        <v>0.8112</v>
      </c>
      <c r="U35" s="5" t="n">
        <f aca="false">IFERROR((L35-V35)/V35,0)</f>
        <v>0.0709</v>
      </c>
      <c r="V35" s="4" t="n">
        <f aca="false">L35/1.0709</f>
        <v>659870.38005416</v>
      </c>
    </row>
    <row r="36" customFormat="false" ht="15" hidden="false" customHeight="false" outlineLevel="0" collapsed="false">
      <c r="A36" s="2" t="n">
        <v>45487</v>
      </c>
      <c r="B36" s="3" t="s">
        <v>80</v>
      </c>
      <c r="C36" s="3" t="s">
        <v>81</v>
      </c>
      <c r="D36" s="3" t="n">
        <v>2024</v>
      </c>
      <c r="E36" s="3" t="s">
        <v>31</v>
      </c>
      <c r="F36" s="3" t="s">
        <v>60</v>
      </c>
      <c r="G36" s="3" t="s">
        <v>56</v>
      </c>
      <c r="H36" s="3" t="s">
        <v>27</v>
      </c>
      <c r="I36" s="3" t="s">
        <v>34</v>
      </c>
      <c r="J36" s="3" t="n">
        <v>83</v>
      </c>
      <c r="K36" s="4" t="n">
        <v>2849.49</v>
      </c>
      <c r="L36" s="4" t="n">
        <f aca="false">J36*K36</f>
        <v>236507.67</v>
      </c>
      <c r="M36" s="4" t="n">
        <f aca="false">L36*0.6248</f>
        <v>147769.992216</v>
      </c>
      <c r="N36" s="4" t="n">
        <f aca="false">L36-M36</f>
        <v>88737.677784</v>
      </c>
      <c r="O36" s="5" t="n">
        <f aca="false">IFERROR(N36/L36,0)</f>
        <v>0.3752</v>
      </c>
      <c r="P36" s="3" t="s">
        <v>29</v>
      </c>
      <c r="Q36" s="3" t="s">
        <v>36</v>
      </c>
      <c r="R36" s="4" t="n">
        <f aca="false">L36/(1+0.172)</f>
        <v>201798.353242321</v>
      </c>
      <c r="S36" s="4" t="n">
        <f aca="false">L36</f>
        <v>236507.67</v>
      </c>
      <c r="T36" s="5" t="n">
        <f aca="false">IFERROR(S36/R36,0)</f>
        <v>1.172</v>
      </c>
      <c r="U36" s="5" t="n">
        <f aca="false">IFERROR((L36-V36)/V36,0)</f>
        <v>0.1589</v>
      </c>
      <c r="V36" s="4" t="n">
        <f aca="false">L36/1.1589</f>
        <v>204079.446026404</v>
      </c>
    </row>
    <row r="37" customFormat="false" ht="15" hidden="false" customHeight="false" outlineLevel="0" collapsed="false">
      <c r="A37" s="2" t="n">
        <v>45489</v>
      </c>
      <c r="B37" s="3" t="s">
        <v>80</v>
      </c>
      <c r="C37" s="3" t="s">
        <v>81</v>
      </c>
      <c r="D37" s="3" t="n">
        <v>2024</v>
      </c>
      <c r="E37" s="3" t="s">
        <v>38</v>
      </c>
      <c r="F37" s="3" t="s">
        <v>45</v>
      </c>
      <c r="G37" s="3" t="s">
        <v>37</v>
      </c>
      <c r="H37" s="3" t="s">
        <v>65</v>
      </c>
      <c r="I37" s="3" t="s">
        <v>66</v>
      </c>
      <c r="J37" s="3" t="n">
        <v>30</v>
      </c>
      <c r="K37" s="4" t="n">
        <v>1927.13</v>
      </c>
      <c r="L37" s="4" t="n">
        <f aca="false">J37*K37</f>
        <v>57813.9</v>
      </c>
      <c r="M37" s="4" t="n">
        <f aca="false">L37*0.6797</f>
        <v>39296.10783</v>
      </c>
      <c r="N37" s="4" t="n">
        <f aca="false">L37-M37</f>
        <v>18517.79217</v>
      </c>
      <c r="O37" s="5" t="n">
        <f aca="false">IFERROR(N37/L37,0)</f>
        <v>0.3203</v>
      </c>
      <c r="P37" s="3" t="s">
        <v>35</v>
      </c>
      <c r="Q37" s="3" t="s">
        <v>36</v>
      </c>
      <c r="R37" s="4" t="n">
        <f aca="false">L37/(1+0.0392)</f>
        <v>55633.0831408776</v>
      </c>
      <c r="S37" s="4" t="n">
        <f aca="false">L37</f>
        <v>57813.9</v>
      </c>
      <c r="T37" s="5" t="n">
        <f aca="false">IFERROR(S37/R37,0)</f>
        <v>1.0392</v>
      </c>
      <c r="U37" s="5" t="n">
        <f aca="false">IFERROR((L37-V37)/V37,0)</f>
        <v>0.0406</v>
      </c>
      <c r="V37" s="4" t="n">
        <f aca="false">L37/1.0406</f>
        <v>55558.2356332885</v>
      </c>
    </row>
    <row r="38" customFormat="false" ht="15" hidden="false" customHeight="false" outlineLevel="0" collapsed="false">
      <c r="A38" s="2" t="n">
        <v>45494</v>
      </c>
      <c r="B38" s="3" t="s">
        <v>80</v>
      </c>
      <c r="C38" s="3" t="s">
        <v>81</v>
      </c>
      <c r="D38" s="3" t="n">
        <v>2024</v>
      </c>
      <c r="E38" s="3" t="s">
        <v>24</v>
      </c>
      <c r="F38" s="3" t="s">
        <v>25</v>
      </c>
      <c r="G38" s="3" t="s">
        <v>37</v>
      </c>
      <c r="H38" s="3" t="s">
        <v>40</v>
      </c>
      <c r="I38" s="3" t="s">
        <v>41</v>
      </c>
      <c r="J38" s="3" t="n">
        <v>260</v>
      </c>
      <c r="K38" s="4" t="n">
        <v>5253.88</v>
      </c>
      <c r="L38" s="4" t="n">
        <f aca="false">J38*K38</f>
        <v>1366008.8</v>
      </c>
      <c r="M38" s="4" t="n">
        <f aca="false">L38*0.6619</f>
        <v>904161.22472</v>
      </c>
      <c r="N38" s="4" t="n">
        <f aca="false">L38-M38</f>
        <v>461847.57528</v>
      </c>
      <c r="O38" s="5" t="n">
        <f aca="false">IFERROR(N38/L38,0)</f>
        <v>0.3381</v>
      </c>
      <c r="P38" s="3" t="s">
        <v>29</v>
      </c>
      <c r="Q38" s="3" t="s">
        <v>36</v>
      </c>
      <c r="R38" s="4" t="n">
        <f aca="false">L38/(1+-0.0556)</f>
        <v>1446430.32613299</v>
      </c>
      <c r="S38" s="4" t="n">
        <f aca="false">L38</f>
        <v>1366008.8</v>
      </c>
      <c r="T38" s="5" t="n">
        <f aca="false">IFERROR(S38/R38,0)</f>
        <v>0.9444</v>
      </c>
      <c r="U38" s="5" t="n">
        <f aca="false">IFERROR((L38-V38)/V38,0)</f>
        <v>0.0933999999999999</v>
      </c>
      <c r="V38" s="4" t="n">
        <f aca="false">L38/1.0934</f>
        <v>1249322.11450521</v>
      </c>
    </row>
    <row r="39" customFormat="false" ht="15" hidden="false" customHeight="false" outlineLevel="0" collapsed="false">
      <c r="A39" s="2" t="n">
        <v>45499</v>
      </c>
      <c r="B39" s="3" t="s">
        <v>80</v>
      </c>
      <c r="C39" s="3" t="s">
        <v>81</v>
      </c>
      <c r="D39" s="3" t="n">
        <v>2024</v>
      </c>
      <c r="E39" s="3" t="s">
        <v>38</v>
      </c>
      <c r="F39" s="3" t="s">
        <v>39</v>
      </c>
      <c r="G39" s="3" t="s">
        <v>49</v>
      </c>
      <c r="H39" s="3" t="s">
        <v>40</v>
      </c>
      <c r="I39" s="3" t="s">
        <v>57</v>
      </c>
      <c r="J39" s="3" t="n">
        <v>453</v>
      </c>
      <c r="K39" s="4" t="n">
        <v>7438.71</v>
      </c>
      <c r="L39" s="4" t="n">
        <f aca="false">J39*K39</f>
        <v>3369735.63</v>
      </c>
      <c r="M39" s="4" t="n">
        <f aca="false">L39*0.647</f>
        <v>2180218.95261</v>
      </c>
      <c r="N39" s="4" t="n">
        <f aca="false">L39-M39</f>
        <v>1189516.67739</v>
      </c>
      <c r="O39" s="5" t="n">
        <f aca="false">IFERROR(N39/L39,0)</f>
        <v>0.353</v>
      </c>
      <c r="P39" s="3" t="s">
        <v>35</v>
      </c>
      <c r="Q39" s="3" t="s">
        <v>30</v>
      </c>
      <c r="R39" s="4" t="n">
        <f aca="false">L39/(1+0.1472)</f>
        <v>2937356.7207113</v>
      </c>
      <c r="S39" s="4" t="n">
        <f aca="false">L39</f>
        <v>3369735.63</v>
      </c>
      <c r="T39" s="5" t="n">
        <f aca="false">IFERROR(S39/R39,0)</f>
        <v>1.1472</v>
      </c>
      <c r="U39" s="5" t="n">
        <f aca="false">IFERROR((L39-V39)/V39,0)</f>
        <v>0.1626</v>
      </c>
      <c r="V39" s="4" t="n">
        <f aca="false">L39/1.1626</f>
        <v>2898447.98726991</v>
      </c>
    </row>
    <row r="40" customFormat="false" ht="15" hidden="false" customHeight="false" outlineLevel="0" collapsed="false">
      <c r="A40" s="2" t="n">
        <v>45519</v>
      </c>
      <c r="B40" s="3" t="s">
        <v>82</v>
      </c>
      <c r="C40" s="3" t="s">
        <v>81</v>
      </c>
      <c r="D40" s="3" t="n">
        <v>2024</v>
      </c>
      <c r="E40" s="3" t="s">
        <v>53</v>
      </c>
      <c r="F40" s="3" t="s">
        <v>77</v>
      </c>
      <c r="G40" s="3" t="s">
        <v>49</v>
      </c>
      <c r="H40" s="3" t="s">
        <v>65</v>
      </c>
      <c r="I40" s="3" t="s">
        <v>68</v>
      </c>
      <c r="J40" s="3" t="n">
        <v>150</v>
      </c>
      <c r="K40" s="4" t="n">
        <v>4362.13</v>
      </c>
      <c r="L40" s="4" t="n">
        <f aca="false">J40*K40</f>
        <v>654319.5</v>
      </c>
      <c r="M40" s="4" t="n">
        <f aca="false">L40*0.5897</f>
        <v>385852.20915</v>
      </c>
      <c r="N40" s="4" t="n">
        <f aca="false">L40-M40</f>
        <v>268467.29085</v>
      </c>
      <c r="O40" s="5" t="n">
        <f aca="false">IFERROR(N40/L40,0)</f>
        <v>0.4103</v>
      </c>
      <c r="P40" s="3" t="s">
        <v>35</v>
      </c>
      <c r="Q40" s="3" t="s">
        <v>36</v>
      </c>
      <c r="R40" s="4" t="n">
        <f aca="false">L40/(1+0.0492)</f>
        <v>623636.58025162</v>
      </c>
      <c r="S40" s="4" t="n">
        <f aca="false">L40</f>
        <v>654319.5</v>
      </c>
      <c r="T40" s="5" t="n">
        <f aca="false">IFERROR(S40/R40,0)</f>
        <v>1.0492</v>
      </c>
      <c r="U40" s="5" t="n">
        <f aca="false">IFERROR((L40-V40)/V40,0)</f>
        <v>-0.0545</v>
      </c>
      <c r="V40" s="4" t="n">
        <f aca="false">L40/0.9455</f>
        <v>692035.430988895</v>
      </c>
    </row>
    <row r="41" customFormat="false" ht="15" hidden="false" customHeight="false" outlineLevel="0" collapsed="false">
      <c r="A41" s="2" t="n">
        <v>45520</v>
      </c>
      <c r="B41" s="3" t="s">
        <v>82</v>
      </c>
      <c r="C41" s="3" t="s">
        <v>81</v>
      </c>
      <c r="D41" s="3" t="n">
        <v>2024</v>
      </c>
      <c r="E41" s="3" t="s">
        <v>47</v>
      </c>
      <c r="F41" s="3" t="s">
        <v>48</v>
      </c>
      <c r="G41" s="3" t="s">
        <v>70</v>
      </c>
      <c r="H41" s="3" t="s">
        <v>65</v>
      </c>
      <c r="I41" s="3" t="s">
        <v>68</v>
      </c>
      <c r="J41" s="3" t="n">
        <v>327</v>
      </c>
      <c r="K41" s="4" t="n">
        <v>2595.44</v>
      </c>
      <c r="L41" s="4" t="n">
        <f aca="false">J41*K41</f>
        <v>848708.88</v>
      </c>
      <c r="M41" s="4" t="n">
        <f aca="false">L41*0.6262</f>
        <v>531461.500656</v>
      </c>
      <c r="N41" s="4" t="n">
        <f aca="false">L41-M41</f>
        <v>317247.379344</v>
      </c>
      <c r="O41" s="5" t="n">
        <f aca="false">IFERROR(N41/L41,0)</f>
        <v>0.3738</v>
      </c>
      <c r="P41" s="3" t="s">
        <v>35</v>
      </c>
      <c r="Q41" s="3" t="s">
        <v>30</v>
      </c>
      <c r="R41" s="4" t="n">
        <f aca="false">L41/(1+0.0069)</f>
        <v>842892.918859867</v>
      </c>
      <c r="S41" s="4" t="n">
        <f aca="false">L41</f>
        <v>848708.88</v>
      </c>
      <c r="T41" s="5" t="n">
        <f aca="false">IFERROR(S41/R41,0)</f>
        <v>1.0069</v>
      </c>
      <c r="U41" s="5" t="n">
        <f aca="false">IFERROR((L41-V41)/V41,0)</f>
        <v>0.1183</v>
      </c>
      <c r="V41" s="4" t="n">
        <f aca="false">L41/1.1183</f>
        <v>758927.729589556</v>
      </c>
    </row>
    <row r="42" customFormat="false" ht="15" hidden="false" customHeight="false" outlineLevel="0" collapsed="false">
      <c r="A42" s="2" t="n">
        <v>45527</v>
      </c>
      <c r="B42" s="3" t="s">
        <v>82</v>
      </c>
      <c r="C42" s="3" t="s">
        <v>81</v>
      </c>
      <c r="D42" s="3" t="n">
        <v>2024</v>
      </c>
      <c r="E42" s="3" t="s">
        <v>24</v>
      </c>
      <c r="F42" s="3" t="s">
        <v>76</v>
      </c>
      <c r="G42" s="3" t="s">
        <v>83</v>
      </c>
      <c r="H42" s="3" t="s">
        <v>40</v>
      </c>
      <c r="I42" s="3" t="s">
        <v>41</v>
      </c>
      <c r="J42" s="3" t="n">
        <v>256</v>
      </c>
      <c r="K42" s="4" t="n">
        <v>6812.31</v>
      </c>
      <c r="L42" s="4" t="n">
        <f aca="false">J42*K42</f>
        <v>1743951.36</v>
      </c>
      <c r="M42" s="4" t="n">
        <f aca="false">L42*0.5835</f>
        <v>1017595.61856</v>
      </c>
      <c r="N42" s="4" t="n">
        <f aca="false">L42-M42</f>
        <v>726355.74144</v>
      </c>
      <c r="O42" s="5" t="n">
        <f aca="false">IFERROR(N42/L42,0)</f>
        <v>0.4165</v>
      </c>
      <c r="P42" s="3" t="s">
        <v>35</v>
      </c>
      <c r="Q42" s="3" t="s">
        <v>30</v>
      </c>
      <c r="R42" s="4" t="n">
        <f aca="false">L42/(1+-0.1194)</f>
        <v>1980412.6277538</v>
      </c>
      <c r="S42" s="4" t="n">
        <f aca="false">L42</f>
        <v>1743951.36</v>
      </c>
      <c r="T42" s="5" t="n">
        <f aca="false">IFERROR(S42/R42,0)</f>
        <v>0.8806</v>
      </c>
      <c r="U42" s="5" t="n">
        <f aca="false">IFERROR((L42-V42)/V42,0)</f>
        <v>0.2676</v>
      </c>
      <c r="V42" s="4" t="n">
        <f aca="false">L42/1.2676</f>
        <v>1375789.96528873</v>
      </c>
    </row>
    <row r="43" customFormat="false" ht="15" hidden="false" customHeight="false" outlineLevel="0" collapsed="false">
      <c r="A43" s="2" t="n">
        <v>45531</v>
      </c>
      <c r="B43" s="3" t="s">
        <v>82</v>
      </c>
      <c r="C43" s="3" t="s">
        <v>81</v>
      </c>
      <c r="D43" s="3" t="n">
        <v>2024</v>
      </c>
      <c r="E43" s="3" t="s">
        <v>24</v>
      </c>
      <c r="F43" s="3" t="s">
        <v>76</v>
      </c>
      <c r="G43" s="3" t="s">
        <v>70</v>
      </c>
      <c r="H43" s="3" t="s">
        <v>40</v>
      </c>
      <c r="I43" s="3" t="s">
        <v>51</v>
      </c>
      <c r="J43" s="3" t="n">
        <v>206</v>
      </c>
      <c r="K43" s="4" t="n">
        <v>3882.53</v>
      </c>
      <c r="L43" s="4" t="n">
        <f aca="false">J43*K43</f>
        <v>799801.18</v>
      </c>
      <c r="M43" s="4" t="n">
        <f aca="false">L43*0.6124</f>
        <v>489798.242632</v>
      </c>
      <c r="N43" s="4" t="n">
        <f aca="false">L43-M43</f>
        <v>310002.937368</v>
      </c>
      <c r="O43" s="5" t="n">
        <f aca="false">IFERROR(N43/L43,0)</f>
        <v>0.3876</v>
      </c>
      <c r="P43" s="3" t="s">
        <v>29</v>
      </c>
      <c r="Q43" s="3" t="s">
        <v>30</v>
      </c>
      <c r="R43" s="4" t="n">
        <f aca="false">L43/(1+-0.0759)</f>
        <v>865492.024672655</v>
      </c>
      <c r="S43" s="4" t="n">
        <f aca="false">L43</f>
        <v>799801.18</v>
      </c>
      <c r="T43" s="5" t="n">
        <f aca="false">IFERROR(S43/R43,0)</f>
        <v>0.9241</v>
      </c>
      <c r="U43" s="5" t="n">
        <f aca="false">IFERROR((L43-V43)/V43,0)</f>
        <v>-0.1712</v>
      </c>
      <c r="V43" s="4" t="n">
        <f aca="false">L43/0.8288</f>
        <v>965011.076254826</v>
      </c>
    </row>
    <row r="44" customFormat="false" ht="15" hidden="false" customHeight="false" outlineLevel="0" collapsed="false">
      <c r="A44" s="2" t="n">
        <v>45531</v>
      </c>
      <c r="B44" s="3" t="s">
        <v>82</v>
      </c>
      <c r="C44" s="3" t="s">
        <v>81</v>
      </c>
      <c r="D44" s="3" t="n">
        <v>2024</v>
      </c>
      <c r="E44" s="3" t="s">
        <v>24</v>
      </c>
      <c r="F44" s="3" t="s">
        <v>69</v>
      </c>
      <c r="G44" s="3" t="s">
        <v>61</v>
      </c>
      <c r="H44" s="3" t="s">
        <v>65</v>
      </c>
      <c r="I44" s="3" t="s">
        <v>84</v>
      </c>
      <c r="J44" s="3" t="n">
        <v>173</v>
      </c>
      <c r="K44" s="4" t="n">
        <v>7922.11</v>
      </c>
      <c r="L44" s="4" t="n">
        <f aca="false">J44*K44</f>
        <v>1370525.03</v>
      </c>
      <c r="M44" s="4" t="n">
        <f aca="false">L44*0.5058</f>
        <v>693211.560174</v>
      </c>
      <c r="N44" s="4" t="n">
        <f aca="false">L44-M44</f>
        <v>677313.469826</v>
      </c>
      <c r="O44" s="5" t="n">
        <f aca="false">IFERROR(N44/L44,0)</f>
        <v>0.4942</v>
      </c>
      <c r="P44" s="3" t="s">
        <v>29</v>
      </c>
      <c r="Q44" s="3" t="s">
        <v>36</v>
      </c>
      <c r="R44" s="4" t="n">
        <f aca="false">L44/(1+-0.0193)</f>
        <v>1397496.71663098</v>
      </c>
      <c r="S44" s="4" t="n">
        <f aca="false">L44</f>
        <v>1370525.03</v>
      </c>
      <c r="T44" s="5" t="n">
        <f aca="false">IFERROR(S44/R44,0)</f>
        <v>0.9807</v>
      </c>
      <c r="U44" s="5" t="n">
        <f aca="false">IFERROR((L44-V44)/V44,0)</f>
        <v>-0.0392</v>
      </c>
      <c r="V44" s="4" t="n">
        <f aca="false">L44/0.9608</f>
        <v>1426441.53830142</v>
      </c>
    </row>
    <row r="45" customFormat="false" ht="15" hidden="false" customHeight="false" outlineLevel="0" collapsed="false">
      <c r="A45" s="2" t="n">
        <v>45533</v>
      </c>
      <c r="B45" s="3" t="s">
        <v>82</v>
      </c>
      <c r="C45" s="3" t="s">
        <v>81</v>
      </c>
      <c r="D45" s="3" t="n">
        <v>2024</v>
      </c>
      <c r="E45" s="3" t="s">
        <v>47</v>
      </c>
      <c r="F45" s="3" t="s">
        <v>50</v>
      </c>
      <c r="G45" s="3" t="s">
        <v>42</v>
      </c>
      <c r="H45" s="3" t="s">
        <v>71</v>
      </c>
      <c r="I45" s="3" t="s">
        <v>85</v>
      </c>
      <c r="J45" s="3" t="n">
        <v>380</v>
      </c>
      <c r="K45" s="4" t="n">
        <v>4691.33</v>
      </c>
      <c r="L45" s="4" t="n">
        <f aca="false">J45*K45</f>
        <v>1782705.4</v>
      </c>
      <c r="M45" s="4" t="n">
        <f aca="false">L45*0.6194</f>
        <v>1104207.72476</v>
      </c>
      <c r="N45" s="4" t="n">
        <f aca="false">L45-M45</f>
        <v>678497.67524</v>
      </c>
      <c r="O45" s="5" t="n">
        <f aca="false">IFERROR(N45/L45,0)</f>
        <v>0.3806</v>
      </c>
      <c r="P45" s="3" t="s">
        <v>29</v>
      </c>
      <c r="Q45" s="3" t="s">
        <v>36</v>
      </c>
      <c r="R45" s="4" t="n">
        <f aca="false">L45/(1+0.1805)</f>
        <v>1510127.40364252</v>
      </c>
      <c r="S45" s="4" t="n">
        <f aca="false">L45</f>
        <v>1782705.4</v>
      </c>
      <c r="T45" s="5" t="n">
        <f aca="false">IFERROR(S45/R45,0)</f>
        <v>1.1805</v>
      </c>
      <c r="U45" s="5" t="n">
        <f aca="false">IFERROR((L45-V45)/V45,0)</f>
        <v>-0.1672</v>
      </c>
      <c r="V45" s="4" t="n">
        <f aca="false">L45/0.8328</f>
        <v>2140616.47454371</v>
      </c>
    </row>
    <row r="46" customFormat="false" ht="15" hidden="false" customHeight="false" outlineLevel="0" collapsed="false">
      <c r="A46" s="2" t="n">
        <v>45541</v>
      </c>
      <c r="B46" s="3" t="s">
        <v>86</v>
      </c>
      <c r="C46" s="3" t="s">
        <v>81</v>
      </c>
      <c r="D46" s="3" t="n">
        <v>2024</v>
      </c>
      <c r="E46" s="3" t="s">
        <v>53</v>
      </c>
      <c r="F46" s="3" t="s">
        <v>55</v>
      </c>
      <c r="G46" s="3" t="s">
        <v>61</v>
      </c>
      <c r="H46" s="3" t="s">
        <v>40</v>
      </c>
      <c r="I46" s="3" t="s">
        <v>51</v>
      </c>
      <c r="J46" s="3" t="n">
        <v>54</v>
      </c>
      <c r="K46" s="4" t="n">
        <v>3882.72</v>
      </c>
      <c r="L46" s="4" t="n">
        <f aca="false">J46*K46</f>
        <v>209666.88</v>
      </c>
      <c r="M46" s="4" t="n">
        <f aca="false">L46*0.7276</f>
        <v>152553.621888</v>
      </c>
      <c r="N46" s="4" t="n">
        <f aca="false">L46-M46</f>
        <v>57113.258112</v>
      </c>
      <c r="O46" s="5" t="n">
        <f aca="false">IFERROR(N46/L46,0)</f>
        <v>0.2724</v>
      </c>
      <c r="P46" s="3" t="s">
        <v>35</v>
      </c>
      <c r="Q46" s="3" t="s">
        <v>36</v>
      </c>
      <c r="R46" s="4" t="n">
        <f aca="false">L46/(1+-0.1273)</f>
        <v>240250.807837745</v>
      </c>
      <c r="S46" s="4" t="n">
        <f aca="false">L46</f>
        <v>209666.88</v>
      </c>
      <c r="T46" s="5" t="n">
        <f aca="false">IFERROR(S46/R46,0)</f>
        <v>0.8727</v>
      </c>
      <c r="U46" s="5" t="n">
        <f aca="false">IFERROR((L46-V46)/V46,0)</f>
        <v>0.1874</v>
      </c>
      <c r="V46" s="4" t="n">
        <f aca="false">L46/1.1874</f>
        <v>176576.452753916</v>
      </c>
    </row>
    <row r="47" customFormat="false" ht="15" hidden="false" customHeight="false" outlineLevel="0" collapsed="false">
      <c r="A47" s="2" t="n">
        <v>45546</v>
      </c>
      <c r="B47" s="3" t="s">
        <v>86</v>
      </c>
      <c r="C47" s="3" t="s">
        <v>81</v>
      </c>
      <c r="D47" s="3" t="n">
        <v>2024</v>
      </c>
      <c r="E47" s="3" t="s">
        <v>53</v>
      </c>
      <c r="F47" s="3" t="s">
        <v>55</v>
      </c>
      <c r="G47" s="3" t="s">
        <v>37</v>
      </c>
      <c r="H47" s="3" t="s">
        <v>71</v>
      </c>
      <c r="I47" s="3" t="s">
        <v>75</v>
      </c>
      <c r="J47" s="3" t="n">
        <v>279</v>
      </c>
      <c r="K47" s="4" t="n">
        <v>2951.31</v>
      </c>
      <c r="L47" s="4" t="n">
        <f aca="false">J47*K47</f>
        <v>823415.49</v>
      </c>
      <c r="M47" s="4" t="n">
        <f aca="false">L47*0.7459</f>
        <v>614185.613991</v>
      </c>
      <c r="N47" s="4" t="n">
        <f aca="false">L47-M47</f>
        <v>209229.876009</v>
      </c>
      <c r="O47" s="5" t="n">
        <f aca="false">IFERROR(N47/L47,0)</f>
        <v>0.2541</v>
      </c>
      <c r="P47" s="3" t="s">
        <v>35</v>
      </c>
      <c r="Q47" s="3" t="s">
        <v>30</v>
      </c>
      <c r="R47" s="4" t="n">
        <f aca="false">L47/(1+-0.1979)</f>
        <v>1026574.60416407</v>
      </c>
      <c r="S47" s="4" t="n">
        <f aca="false">L47</f>
        <v>823415.49</v>
      </c>
      <c r="T47" s="5" t="n">
        <f aca="false">IFERROR(S47/R47,0)</f>
        <v>0.8021</v>
      </c>
      <c r="U47" s="5" t="n">
        <f aca="false">IFERROR((L47-V47)/V47,0)</f>
        <v>-0.1242</v>
      </c>
      <c r="V47" s="4" t="n">
        <f aca="false">L47/0.8758</f>
        <v>940186.675039963</v>
      </c>
    </row>
    <row r="48" customFormat="false" ht="15" hidden="false" customHeight="false" outlineLevel="0" collapsed="false">
      <c r="A48" s="2" t="n">
        <v>45550</v>
      </c>
      <c r="B48" s="3" t="s">
        <v>86</v>
      </c>
      <c r="C48" s="3" t="s">
        <v>81</v>
      </c>
      <c r="D48" s="3" t="n">
        <v>2024</v>
      </c>
      <c r="E48" s="3" t="s">
        <v>31</v>
      </c>
      <c r="F48" s="3" t="s">
        <v>60</v>
      </c>
      <c r="G48" s="3" t="s">
        <v>70</v>
      </c>
      <c r="H48" s="3" t="s">
        <v>43</v>
      </c>
      <c r="I48" s="3" t="s">
        <v>46</v>
      </c>
      <c r="J48" s="3" t="n">
        <v>440</v>
      </c>
      <c r="K48" s="4" t="n">
        <v>3014.16</v>
      </c>
      <c r="L48" s="4" t="n">
        <f aca="false">J48*K48</f>
        <v>1326230.4</v>
      </c>
      <c r="M48" s="4" t="n">
        <f aca="false">L48*0.7413</f>
        <v>983134.59552</v>
      </c>
      <c r="N48" s="4" t="n">
        <f aca="false">L48-M48</f>
        <v>343095.80448</v>
      </c>
      <c r="O48" s="5" t="n">
        <f aca="false">IFERROR(N48/L48,0)</f>
        <v>0.2587</v>
      </c>
      <c r="P48" s="3" t="s">
        <v>29</v>
      </c>
      <c r="Q48" s="3" t="s">
        <v>30</v>
      </c>
      <c r="R48" s="4" t="n">
        <f aca="false">L48/(1+-0.0696)</f>
        <v>1425441.10060189</v>
      </c>
      <c r="S48" s="4" t="n">
        <f aca="false">L48</f>
        <v>1326230.4</v>
      </c>
      <c r="T48" s="5" t="n">
        <f aca="false">IFERROR(S48/R48,0)</f>
        <v>0.9304</v>
      </c>
      <c r="U48" s="5" t="n">
        <f aca="false">IFERROR((L48-V48)/V48,0)</f>
        <v>0.1701</v>
      </c>
      <c r="V48" s="4" t="n">
        <f aca="false">L48/1.1701</f>
        <v>1133433.38176224</v>
      </c>
    </row>
    <row r="49" customFormat="false" ht="15" hidden="false" customHeight="false" outlineLevel="0" collapsed="false">
      <c r="A49" s="2" t="n">
        <v>45554</v>
      </c>
      <c r="B49" s="3" t="s">
        <v>86</v>
      </c>
      <c r="C49" s="3" t="s">
        <v>81</v>
      </c>
      <c r="D49" s="3" t="n">
        <v>2024</v>
      </c>
      <c r="E49" s="3" t="s">
        <v>38</v>
      </c>
      <c r="F49" s="3" t="s">
        <v>39</v>
      </c>
      <c r="G49" s="3" t="s">
        <v>64</v>
      </c>
      <c r="H49" s="3" t="s">
        <v>40</v>
      </c>
      <c r="I49" s="3" t="s">
        <v>57</v>
      </c>
      <c r="J49" s="3" t="n">
        <v>63</v>
      </c>
      <c r="K49" s="4" t="n">
        <v>4302.31</v>
      </c>
      <c r="L49" s="4" t="n">
        <f aca="false">J49*K49</f>
        <v>271045.53</v>
      </c>
      <c r="M49" s="4" t="n">
        <f aca="false">L49*0.595</f>
        <v>161272.09035</v>
      </c>
      <c r="N49" s="4" t="n">
        <f aca="false">L49-M49</f>
        <v>109773.43965</v>
      </c>
      <c r="O49" s="5" t="n">
        <f aca="false">IFERROR(N49/L49,0)</f>
        <v>0.405</v>
      </c>
      <c r="P49" s="3" t="s">
        <v>29</v>
      </c>
      <c r="Q49" s="3" t="s">
        <v>36</v>
      </c>
      <c r="R49" s="4" t="n">
        <f aca="false">L49/(1+0.0807)</f>
        <v>250805.52419728</v>
      </c>
      <c r="S49" s="4" t="n">
        <f aca="false">L49</f>
        <v>271045.53</v>
      </c>
      <c r="T49" s="5" t="n">
        <f aca="false">IFERROR(S49/R49,0)</f>
        <v>1.0807</v>
      </c>
      <c r="U49" s="5" t="n">
        <f aca="false">IFERROR((L49-V49)/V49,0)</f>
        <v>-0.046</v>
      </c>
      <c r="V49" s="4" t="n">
        <f aca="false">L49/0.954</f>
        <v>284114.811320755</v>
      </c>
    </row>
    <row r="50" customFormat="false" ht="15" hidden="false" customHeight="false" outlineLevel="0" collapsed="false">
      <c r="A50" s="2" t="n">
        <v>45557</v>
      </c>
      <c r="B50" s="3" t="s">
        <v>86</v>
      </c>
      <c r="C50" s="3" t="s">
        <v>81</v>
      </c>
      <c r="D50" s="3" t="n">
        <v>2024</v>
      </c>
      <c r="E50" s="3" t="s">
        <v>53</v>
      </c>
      <c r="F50" s="3" t="s">
        <v>55</v>
      </c>
      <c r="G50" s="3" t="s">
        <v>37</v>
      </c>
      <c r="H50" s="3" t="s">
        <v>40</v>
      </c>
      <c r="I50" s="3" t="s">
        <v>57</v>
      </c>
      <c r="J50" s="3" t="n">
        <v>252</v>
      </c>
      <c r="K50" s="4" t="n">
        <v>3602.11</v>
      </c>
      <c r="L50" s="4" t="n">
        <f aca="false">J50*K50</f>
        <v>907731.72</v>
      </c>
      <c r="M50" s="4" t="n">
        <f aca="false">L50*0.6905</f>
        <v>626788.75266</v>
      </c>
      <c r="N50" s="4" t="n">
        <f aca="false">L50-M50</f>
        <v>280942.96734</v>
      </c>
      <c r="O50" s="5" t="n">
        <f aca="false">IFERROR(N50/L50,0)</f>
        <v>0.3095</v>
      </c>
      <c r="P50" s="3" t="s">
        <v>35</v>
      </c>
      <c r="Q50" s="3" t="s">
        <v>30</v>
      </c>
      <c r="R50" s="4" t="n">
        <f aca="false">L50/(1+-0.09)</f>
        <v>997507.384615385</v>
      </c>
      <c r="S50" s="4" t="n">
        <f aca="false">L50</f>
        <v>907731.72</v>
      </c>
      <c r="T50" s="5" t="n">
        <f aca="false">IFERROR(S50/R50,0)</f>
        <v>0.91</v>
      </c>
      <c r="U50" s="5" t="n">
        <f aca="false">IFERROR((L50-V50)/V50,0)</f>
        <v>0.1926</v>
      </c>
      <c r="V50" s="4" t="n">
        <f aca="false">L50/1.1926</f>
        <v>761136.776790206</v>
      </c>
    </row>
    <row r="51" customFormat="false" ht="15" hidden="false" customHeight="false" outlineLevel="0" collapsed="false">
      <c r="A51" s="2" t="n">
        <v>45559</v>
      </c>
      <c r="B51" s="3" t="s">
        <v>86</v>
      </c>
      <c r="C51" s="3" t="s">
        <v>81</v>
      </c>
      <c r="D51" s="3" t="n">
        <v>2024</v>
      </c>
      <c r="E51" s="3" t="s">
        <v>24</v>
      </c>
      <c r="F51" s="3" t="s">
        <v>25</v>
      </c>
      <c r="G51" s="3" t="s">
        <v>37</v>
      </c>
      <c r="H51" s="3" t="s">
        <v>43</v>
      </c>
      <c r="I51" s="3" t="s">
        <v>46</v>
      </c>
      <c r="J51" s="3" t="n">
        <v>37</v>
      </c>
      <c r="K51" s="4" t="n">
        <v>1843.78</v>
      </c>
      <c r="L51" s="4" t="n">
        <f aca="false">J51*K51</f>
        <v>68219.86</v>
      </c>
      <c r="M51" s="4" t="n">
        <f aca="false">L51*0.5877</f>
        <v>40092.811722</v>
      </c>
      <c r="N51" s="4" t="n">
        <f aca="false">L51-M51</f>
        <v>28127.048278</v>
      </c>
      <c r="O51" s="5" t="n">
        <f aca="false">IFERROR(N51/L51,0)</f>
        <v>0.4123</v>
      </c>
      <c r="P51" s="3" t="s">
        <v>35</v>
      </c>
      <c r="Q51" s="3" t="s">
        <v>36</v>
      </c>
      <c r="R51" s="4" t="n">
        <f aca="false">L51/(1+0.1093)</f>
        <v>61498.1159289642</v>
      </c>
      <c r="S51" s="4" t="n">
        <f aca="false">L51</f>
        <v>68219.86</v>
      </c>
      <c r="T51" s="5" t="n">
        <f aca="false">IFERROR(S51/R51,0)</f>
        <v>1.1093</v>
      </c>
      <c r="U51" s="5" t="n">
        <f aca="false">IFERROR((L51-V51)/V51,0)</f>
        <v>-0.1461</v>
      </c>
      <c r="V51" s="4" t="n">
        <f aca="false">L51/0.8539</f>
        <v>79892.0950931022</v>
      </c>
    </row>
    <row r="52" customFormat="false" ht="15" hidden="false" customHeight="false" outlineLevel="0" collapsed="false">
      <c r="A52" s="2" t="n">
        <v>45563</v>
      </c>
      <c r="B52" s="3" t="s">
        <v>86</v>
      </c>
      <c r="C52" s="3" t="s">
        <v>81</v>
      </c>
      <c r="D52" s="3" t="n">
        <v>2024</v>
      </c>
      <c r="E52" s="3" t="s">
        <v>31</v>
      </c>
      <c r="F52" s="3" t="s">
        <v>32</v>
      </c>
      <c r="G52" s="3" t="s">
        <v>56</v>
      </c>
      <c r="H52" s="3" t="s">
        <v>27</v>
      </c>
      <c r="I52" s="3" t="s">
        <v>78</v>
      </c>
      <c r="J52" s="3" t="n">
        <v>30</v>
      </c>
      <c r="K52" s="4" t="n">
        <v>5209.58</v>
      </c>
      <c r="L52" s="4" t="n">
        <f aca="false">J52*K52</f>
        <v>156287.4</v>
      </c>
      <c r="M52" s="4" t="n">
        <f aca="false">L52*0.513</f>
        <v>80175.4362</v>
      </c>
      <c r="N52" s="4" t="n">
        <f aca="false">L52-M52</f>
        <v>76111.9638</v>
      </c>
      <c r="O52" s="5" t="n">
        <f aca="false">IFERROR(N52/L52,0)</f>
        <v>0.487</v>
      </c>
      <c r="P52" s="3" t="s">
        <v>29</v>
      </c>
      <c r="Q52" s="3" t="s">
        <v>30</v>
      </c>
      <c r="R52" s="4" t="n">
        <f aca="false">L52/(1+0.1272)</f>
        <v>138650.993612491</v>
      </c>
      <c r="S52" s="4" t="n">
        <f aca="false">L52</f>
        <v>156287.4</v>
      </c>
      <c r="T52" s="5" t="n">
        <f aca="false">IFERROR(S52/R52,0)</f>
        <v>1.1272</v>
      </c>
      <c r="U52" s="5" t="n">
        <f aca="false">IFERROR((L52-V52)/V52,0)</f>
        <v>0.0649999999999999</v>
      </c>
      <c r="V52" s="4" t="n">
        <f aca="false">L52/1.065</f>
        <v>146748.732394366</v>
      </c>
    </row>
    <row r="53" customFormat="false" ht="15" hidden="false" customHeight="false" outlineLevel="0" collapsed="false">
      <c r="A53" s="2" t="n">
        <v>45565</v>
      </c>
      <c r="B53" s="3" t="s">
        <v>86</v>
      </c>
      <c r="C53" s="3" t="s">
        <v>81</v>
      </c>
      <c r="D53" s="3" t="n">
        <v>2024</v>
      </c>
      <c r="E53" s="3" t="s">
        <v>24</v>
      </c>
      <c r="F53" s="3" t="s">
        <v>69</v>
      </c>
      <c r="G53" s="3" t="s">
        <v>64</v>
      </c>
      <c r="H53" s="3" t="s">
        <v>27</v>
      </c>
      <c r="I53" s="3" t="s">
        <v>78</v>
      </c>
      <c r="J53" s="3" t="n">
        <v>303</v>
      </c>
      <c r="K53" s="4" t="n">
        <v>5163.04</v>
      </c>
      <c r="L53" s="4" t="n">
        <f aca="false">J53*K53</f>
        <v>1564401.12</v>
      </c>
      <c r="M53" s="4" t="n">
        <f aca="false">L53*0.6839</f>
        <v>1069893.925968</v>
      </c>
      <c r="N53" s="4" t="n">
        <f aca="false">L53-M53</f>
        <v>494507.194032</v>
      </c>
      <c r="O53" s="5" t="n">
        <f aca="false">IFERROR(N53/L53,0)</f>
        <v>0.3161</v>
      </c>
      <c r="P53" s="3" t="s">
        <v>35</v>
      </c>
      <c r="Q53" s="3" t="s">
        <v>30</v>
      </c>
      <c r="R53" s="4" t="n">
        <f aca="false">L53/(1+0.1179)</f>
        <v>1399410.60917792</v>
      </c>
      <c r="S53" s="4" t="n">
        <f aca="false">L53</f>
        <v>1564401.12</v>
      </c>
      <c r="T53" s="5" t="n">
        <f aca="false">IFERROR(S53/R53,0)</f>
        <v>1.1179</v>
      </c>
      <c r="U53" s="5" t="n">
        <f aca="false">IFERROR((L53-V53)/V53,0)</f>
        <v>-0.1833</v>
      </c>
      <c r="V53" s="4" t="n">
        <f aca="false">L53/0.8167</f>
        <v>1915515.02387658</v>
      </c>
    </row>
    <row r="54" customFormat="false" ht="15" hidden="false" customHeight="false" outlineLevel="0" collapsed="false">
      <c r="A54" s="2" t="n">
        <v>45567</v>
      </c>
      <c r="B54" s="3" t="s">
        <v>87</v>
      </c>
      <c r="C54" s="3" t="s">
        <v>88</v>
      </c>
      <c r="D54" s="3" t="n">
        <v>2024</v>
      </c>
      <c r="E54" s="3" t="s">
        <v>47</v>
      </c>
      <c r="F54" s="3" t="s">
        <v>89</v>
      </c>
      <c r="G54" s="3" t="s">
        <v>42</v>
      </c>
      <c r="H54" s="3" t="s">
        <v>65</v>
      </c>
      <c r="I54" s="3" t="s">
        <v>90</v>
      </c>
      <c r="J54" s="3" t="n">
        <v>81</v>
      </c>
      <c r="K54" s="4" t="n">
        <v>1707.5</v>
      </c>
      <c r="L54" s="4" t="n">
        <f aca="false">J54*K54</f>
        <v>138307.5</v>
      </c>
      <c r="M54" s="4" t="n">
        <f aca="false">L54*0.5053</f>
        <v>69886.77975</v>
      </c>
      <c r="N54" s="4" t="n">
        <f aca="false">L54-M54</f>
        <v>68420.72025</v>
      </c>
      <c r="O54" s="5" t="n">
        <f aca="false">IFERROR(N54/L54,0)</f>
        <v>0.4947</v>
      </c>
      <c r="P54" s="3" t="s">
        <v>29</v>
      </c>
      <c r="Q54" s="3" t="s">
        <v>36</v>
      </c>
      <c r="R54" s="4" t="n">
        <f aca="false">L54/(1+0.1123)</f>
        <v>124343.702238605</v>
      </c>
      <c r="S54" s="4" t="n">
        <f aca="false">L54</f>
        <v>138307.5</v>
      </c>
      <c r="T54" s="5" t="n">
        <f aca="false">IFERROR(S54/R54,0)</f>
        <v>1.1123</v>
      </c>
      <c r="U54" s="5" t="n">
        <f aca="false">IFERROR((L54-V54)/V54,0)</f>
        <v>0.2166</v>
      </c>
      <c r="V54" s="4" t="n">
        <f aca="false">L54/1.2166</f>
        <v>113683.626500082</v>
      </c>
    </row>
    <row r="55" customFormat="false" ht="15" hidden="false" customHeight="false" outlineLevel="0" collapsed="false">
      <c r="A55" s="2" t="n">
        <v>45568</v>
      </c>
      <c r="B55" s="3" t="s">
        <v>87</v>
      </c>
      <c r="C55" s="3" t="s">
        <v>88</v>
      </c>
      <c r="D55" s="3" t="n">
        <v>2024</v>
      </c>
      <c r="E55" s="3" t="s">
        <v>24</v>
      </c>
      <c r="F55" s="3" t="s">
        <v>76</v>
      </c>
      <c r="G55" s="3" t="s">
        <v>64</v>
      </c>
      <c r="H55" s="3" t="s">
        <v>65</v>
      </c>
      <c r="I55" s="3" t="s">
        <v>90</v>
      </c>
      <c r="J55" s="3" t="n">
        <v>60</v>
      </c>
      <c r="K55" s="4" t="n">
        <v>1261.98</v>
      </c>
      <c r="L55" s="4" t="n">
        <f aca="false">J55*K55</f>
        <v>75718.8</v>
      </c>
      <c r="M55" s="4" t="n">
        <f aca="false">L55*0.6875</f>
        <v>52056.675</v>
      </c>
      <c r="N55" s="4" t="n">
        <f aca="false">L55-M55</f>
        <v>23662.125</v>
      </c>
      <c r="O55" s="5" t="n">
        <f aca="false">IFERROR(N55/L55,0)</f>
        <v>0.3125</v>
      </c>
      <c r="P55" s="3" t="s">
        <v>35</v>
      </c>
      <c r="Q55" s="3" t="s">
        <v>36</v>
      </c>
      <c r="R55" s="4" t="n">
        <f aca="false">L55/(1+0.0407)</f>
        <v>72757.5670221966</v>
      </c>
      <c r="S55" s="4" t="n">
        <f aca="false">L55</f>
        <v>75718.8</v>
      </c>
      <c r="T55" s="5" t="n">
        <f aca="false">IFERROR(S55/R55,0)</f>
        <v>1.0407</v>
      </c>
      <c r="U55" s="5" t="n">
        <f aca="false">IFERROR((L55-V55)/V55,0)</f>
        <v>0.2581</v>
      </c>
      <c r="V55" s="4" t="n">
        <f aca="false">L55/1.2581</f>
        <v>60185.0409347429</v>
      </c>
    </row>
    <row r="56" customFormat="false" ht="15" hidden="false" customHeight="false" outlineLevel="0" collapsed="false">
      <c r="A56" s="2" t="n">
        <v>45585</v>
      </c>
      <c r="B56" s="3" t="s">
        <v>87</v>
      </c>
      <c r="C56" s="3" t="s">
        <v>88</v>
      </c>
      <c r="D56" s="3" t="n">
        <v>2024</v>
      </c>
      <c r="E56" s="3" t="s">
        <v>53</v>
      </c>
      <c r="F56" s="3" t="s">
        <v>54</v>
      </c>
      <c r="G56" s="3" t="s">
        <v>37</v>
      </c>
      <c r="H56" s="3" t="s">
        <v>71</v>
      </c>
      <c r="I56" s="3" t="s">
        <v>85</v>
      </c>
      <c r="J56" s="3" t="n">
        <v>484</v>
      </c>
      <c r="K56" s="4" t="n">
        <v>7814.71</v>
      </c>
      <c r="L56" s="4" t="n">
        <f aca="false">J56*K56</f>
        <v>3782319.64</v>
      </c>
      <c r="M56" s="4" t="n">
        <f aca="false">L56*0.6308</f>
        <v>2385887.228912</v>
      </c>
      <c r="N56" s="4" t="n">
        <f aca="false">L56-M56</f>
        <v>1396432.411088</v>
      </c>
      <c r="O56" s="5" t="n">
        <f aca="false">IFERROR(N56/L56,0)</f>
        <v>0.3692</v>
      </c>
      <c r="P56" s="3" t="s">
        <v>29</v>
      </c>
      <c r="Q56" s="3" t="s">
        <v>36</v>
      </c>
      <c r="R56" s="4" t="n">
        <f aca="false">L56/(1+0.0229)</f>
        <v>3697643.60152508</v>
      </c>
      <c r="S56" s="4" t="n">
        <f aca="false">L56</f>
        <v>3782319.64</v>
      </c>
      <c r="T56" s="5" t="n">
        <f aca="false">IFERROR(S56/R56,0)</f>
        <v>1.0229</v>
      </c>
      <c r="U56" s="5" t="n">
        <f aca="false">IFERROR((L56-V56)/V56,0)</f>
        <v>-0.161</v>
      </c>
      <c r="V56" s="4" t="n">
        <f aca="false">L56/0.839</f>
        <v>4508128.29558999</v>
      </c>
    </row>
    <row r="57" customFormat="false" ht="15" hidden="false" customHeight="false" outlineLevel="0" collapsed="false">
      <c r="A57" s="2" t="n">
        <v>45593</v>
      </c>
      <c r="B57" s="3" t="s">
        <v>87</v>
      </c>
      <c r="C57" s="3" t="s">
        <v>88</v>
      </c>
      <c r="D57" s="3" t="n">
        <v>2024</v>
      </c>
      <c r="E57" s="3" t="s">
        <v>47</v>
      </c>
      <c r="F57" s="3" t="s">
        <v>89</v>
      </c>
      <c r="G57" s="3" t="s">
        <v>42</v>
      </c>
      <c r="H57" s="3" t="s">
        <v>43</v>
      </c>
      <c r="I57" s="3" t="s">
        <v>58</v>
      </c>
      <c r="J57" s="3" t="n">
        <v>397</v>
      </c>
      <c r="K57" s="4" t="n">
        <v>4172.32</v>
      </c>
      <c r="L57" s="4" t="n">
        <f aca="false">J57*K57</f>
        <v>1656411.04</v>
      </c>
      <c r="M57" s="4" t="n">
        <f aca="false">L57*0.5258</f>
        <v>870940.924832</v>
      </c>
      <c r="N57" s="4" t="n">
        <f aca="false">L57-M57</f>
        <v>785470.115168</v>
      </c>
      <c r="O57" s="5" t="n">
        <f aca="false">IFERROR(N57/L57,0)</f>
        <v>0.4742</v>
      </c>
      <c r="P57" s="3" t="s">
        <v>35</v>
      </c>
      <c r="Q57" s="3" t="s">
        <v>30</v>
      </c>
      <c r="R57" s="4" t="n">
        <f aca="false">L57/(1+0.0037)</f>
        <v>1650304.91182624</v>
      </c>
      <c r="S57" s="4" t="n">
        <f aca="false">L57</f>
        <v>1656411.04</v>
      </c>
      <c r="T57" s="5" t="n">
        <f aca="false">IFERROR(S57/R57,0)</f>
        <v>1.0037</v>
      </c>
      <c r="U57" s="5" t="n">
        <f aca="false">IFERROR((L57-V57)/V57,0)</f>
        <v>-0.1144</v>
      </c>
      <c r="V57" s="4" t="n">
        <f aca="false">L57/0.8856</f>
        <v>1870382.83649503</v>
      </c>
    </row>
    <row r="58" customFormat="false" ht="15" hidden="false" customHeight="false" outlineLevel="0" collapsed="false">
      <c r="A58" s="2" t="n">
        <v>45600</v>
      </c>
      <c r="B58" s="3" t="s">
        <v>91</v>
      </c>
      <c r="C58" s="3" t="s">
        <v>88</v>
      </c>
      <c r="D58" s="3" t="n">
        <v>2024</v>
      </c>
      <c r="E58" s="3" t="s">
        <v>38</v>
      </c>
      <c r="F58" s="3" t="s">
        <v>39</v>
      </c>
      <c r="G58" s="3" t="s">
        <v>64</v>
      </c>
      <c r="H58" s="3" t="s">
        <v>43</v>
      </c>
      <c r="I58" s="3" t="s">
        <v>46</v>
      </c>
      <c r="J58" s="3" t="n">
        <v>164</v>
      </c>
      <c r="K58" s="4" t="n">
        <v>1519.34</v>
      </c>
      <c r="L58" s="4" t="n">
        <f aca="false">J58*K58</f>
        <v>249171.76</v>
      </c>
      <c r="M58" s="4" t="n">
        <f aca="false">L58*0.7366</f>
        <v>183539.918416</v>
      </c>
      <c r="N58" s="4" t="n">
        <f aca="false">L58-M58</f>
        <v>65631.841584</v>
      </c>
      <c r="O58" s="5" t="n">
        <f aca="false">IFERROR(N58/L58,0)</f>
        <v>0.2634</v>
      </c>
      <c r="P58" s="3" t="s">
        <v>35</v>
      </c>
      <c r="Q58" s="3" t="s">
        <v>30</v>
      </c>
      <c r="R58" s="4" t="n">
        <f aca="false">L58/(1+-0.1268)</f>
        <v>285354.74118186</v>
      </c>
      <c r="S58" s="4" t="n">
        <f aca="false">L58</f>
        <v>249171.76</v>
      </c>
      <c r="T58" s="5" t="n">
        <f aca="false">IFERROR(S58/R58,0)</f>
        <v>0.8732</v>
      </c>
      <c r="U58" s="5" t="n">
        <f aca="false">IFERROR((L58-V58)/V58,0)</f>
        <v>-0.125</v>
      </c>
      <c r="V58" s="4" t="n">
        <f aca="false">L58/0.875</f>
        <v>284767.725714286</v>
      </c>
    </row>
    <row r="59" customFormat="false" ht="15" hidden="false" customHeight="false" outlineLevel="0" collapsed="false">
      <c r="A59" s="2" t="n">
        <v>45602</v>
      </c>
      <c r="B59" s="3" t="s">
        <v>91</v>
      </c>
      <c r="C59" s="3" t="s">
        <v>88</v>
      </c>
      <c r="D59" s="3" t="n">
        <v>2024</v>
      </c>
      <c r="E59" s="3" t="s">
        <v>24</v>
      </c>
      <c r="F59" s="3" t="s">
        <v>25</v>
      </c>
      <c r="G59" s="3" t="s">
        <v>64</v>
      </c>
      <c r="H59" s="3" t="s">
        <v>71</v>
      </c>
      <c r="I59" s="3" t="s">
        <v>75</v>
      </c>
      <c r="J59" s="3" t="n">
        <v>38</v>
      </c>
      <c r="K59" s="4" t="n">
        <v>1261.42</v>
      </c>
      <c r="L59" s="4" t="n">
        <f aca="false">J59*K59</f>
        <v>47933.96</v>
      </c>
      <c r="M59" s="4" t="n">
        <f aca="false">L59*0.624</f>
        <v>29910.79104</v>
      </c>
      <c r="N59" s="4" t="n">
        <f aca="false">L59-M59</f>
        <v>18023.16896</v>
      </c>
      <c r="O59" s="5" t="n">
        <f aca="false">IFERROR(N59/L59,0)</f>
        <v>0.376</v>
      </c>
      <c r="P59" s="3" t="s">
        <v>29</v>
      </c>
      <c r="Q59" s="3" t="s">
        <v>36</v>
      </c>
      <c r="R59" s="4" t="n">
        <f aca="false">L59/(1+0.1821)</f>
        <v>40549.8350393368</v>
      </c>
      <c r="S59" s="4" t="n">
        <f aca="false">L59</f>
        <v>47933.96</v>
      </c>
      <c r="T59" s="5" t="n">
        <f aca="false">IFERROR(S59/R59,0)</f>
        <v>1.1821</v>
      </c>
      <c r="U59" s="5" t="n">
        <f aca="false">IFERROR((L59-V59)/V59,0)</f>
        <v>-0.0315</v>
      </c>
      <c r="V59" s="4" t="n">
        <f aca="false">L59/0.9685</f>
        <v>49492.9891584925</v>
      </c>
    </row>
    <row r="60" customFormat="false" ht="15" hidden="false" customHeight="false" outlineLevel="0" collapsed="false">
      <c r="A60" s="2" t="n">
        <v>45609</v>
      </c>
      <c r="B60" s="3" t="s">
        <v>91</v>
      </c>
      <c r="C60" s="3" t="s">
        <v>88</v>
      </c>
      <c r="D60" s="3" t="n">
        <v>2024</v>
      </c>
      <c r="E60" s="3" t="s">
        <v>31</v>
      </c>
      <c r="F60" s="3" t="s">
        <v>74</v>
      </c>
      <c r="G60" s="3" t="s">
        <v>56</v>
      </c>
      <c r="H60" s="3" t="s">
        <v>43</v>
      </c>
      <c r="I60" s="3" t="s">
        <v>46</v>
      </c>
      <c r="J60" s="3" t="n">
        <v>119</v>
      </c>
      <c r="K60" s="4" t="n">
        <v>4357.56</v>
      </c>
      <c r="L60" s="4" t="n">
        <f aca="false">J60*K60</f>
        <v>518549.64</v>
      </c>
      <c r="M60" s="4" t="n">
        <f aca="false">L60*0.6293</f>
        <v>326323.288452</v>
      </c>
      <c r="N60" s="4" t="n">
        <f aca="false">L60-M60</f>
        <v>192226.351548</v>
      </c>
      <c r="O60" s="5" t="n">
        <f aca="false">IFERROR(N60/L60,0)</f>
        <v>0.3707</v>
      </c>
      <c r="P60" s="3" t="s">
        <v>29</v>
      </c>
      <c r="Q60" s="3" t="s">
        <v>36</v>
      </c>
      <c r="R60" s="4" t="n">
        <f aca="false">L60/(1+0.1416)</f>
        <v>454230.588647512</v>
      </c>
      <c r="S60" s="4" t="n">
        <f aca="false">L60</f>
        <v>518549.64</v>
      </c>
      <c r="T60" s="5" t="n">
        <f aca="false">IFERROR(S60/R60,0)</f>
        <v>1.1416</v>
      </c>
      <c r="U60" s="5" t="n">
        <f aca="false">IFERROR((L60-V60)/V60,0)</f>
        <v>0.0582</v>
      </c>
      <c r="V60" s="4" t="n">
        <f aca="false">L60/1.0582</f>
        <v>490029.8998299</v>
      </c>
    </row>
    <row r="61" customFormat="false" ht="15" hidden="false" customHeight="false" outlineLevel="0" collapsed="false">
      <c r="A61" s="2" t="n">
        <v>45610</v>
      </c>
      <c r="B61" s="3" t="s">
        <v>91</v>
      </c>
      <c r="C61" s="3" t="s">
        <v>88</v>
      </c>
      <c r="D61" s="3" t="n">
        <v>2024</v>
      </c>
      <c r="E61" s="3" t="s">
        <v>24</v>
      </c>
      <c r="F61" s="3" t="s">
        <v>69</v>
      </c>
      <c r="G61" s="3" t="s">
        <v>26</v>
      </c>
      <c r="H61" s="3" t="s">
        <v>27</v>
      </c>
      <c r="I61" s="3" t="s">
        <v>34</v>
      </c>
      <c r="J61" s="3" t="n">
        <v>232</v>
      </c>
      <c r="K61" s="4" t="n">
        <v>5216.47</v>
      </c>
      <c r="L61" s="4" t="n">
        <f aca="false">J61*K61</f>
        <v>1210221.04</v>
      </c>
      <c r="M61" s="4" t="n">
        <f aca="false">L61*0.7411</f>
        <v>896894.812744</v>
      </c>
      <c r="N61" s="4" t="n">
        <f aca="false">L61-M61</f>
        <v>313326.227256</v>
      </c>
      <c r="O61" s="5" t="n">
        <f aca="false">IFERROR(N61/L61,0)</f>
        <v>0.2589</v>
      </c>
      <c r="P61" s="3" t="s">
        <v>35</v>
      </c>
      <c r="Q61" s="3" t="s">
        <v>30</v>
      </c>
      <c r="R61" s="4" t="n">
        <f aca="false">L61/(1+-0.1367)</f>
        <v>1401854.55809105</v>
      </c>
      <c r="S61" s="4" t="n">
        <f aca="false">L61</f>
        <v>1210221.04</v>
      </c>
      <c r="T61" s="5" t="n">
        <f aca="false">IFERROR(S61/R61,0)</f>
        <v>0.8633</v>
      </c>
      <c r="U61" s="5" t="n">
        <f aca="false">IFERROR((L61-V61)/V61,0)</f>
        <v>-0.0907999999999999</v>
      </c>
      <c r="V61" s="4" t="n">
        <f aca="false">L61/0.9092</f>
        <v>1331083.41399032</v>
      </c>
    </row>
    <row r="62" customFormat="false" ht="15" hidden="false" customHeight="false" outlineLevel="0" collapsed="false">
      <c r="A62" s="2" t="n">
        <v>45612</v>
      </c>
      <c r="B62" s="3" t="s">
        <v>91</v>
      </c>
      <c r="C62" s="3" t="s">
        <v>88</v>
      </c>
      <c r="D62" s="3" t="n">
        <v>2024</v>
      </c>
      <c r="E62" s="3" t="s">
        <v>53</v>
      </c>
      <c r="F62" s="3" t="s">
        <v>77</v>
      </c>
      <c r="G62" s="3" t="s">
        <v>64</v>
      </c>
      <c r="H62" s="3" t="s">
        <v>71</v>
      </c>
      <c r="I62" s="3" t="s">
        <v>72</v>
      </c>
      <c r="J62" s="3" t="n">
        <v>235</v>
      </c>
      <c r="K62" s="4" t="n">
        <v>595.13</v>
      </c>
      <c r="L62" s="4" t="n">
        <f aca="false">J62*K62</f>
        <v>139855.55</v>
      </c>
      <c r="M62" s="4" t="n">
        <f aca="false">L62*0.5375</f>
        <v>75172.358125</v>
      </c>
      <c r="N62" s="4" t="n">
        <f aca="false">L62-M62</f>
        <v>64683.191875</v>
      </c>
      <c r="O62" s="5" t="n">
        <f aca="false">IFERROR(N62/L62,0)</f>
        <v>0.4625</v>
      </c>
      <c r="P62" s="3" t="s">
        <v>35</v>
      </c>
      <c r="Q62" s="3" t="s">
        <v>36</v>
      </c>
      <c r="R62" s="4" t="n">
        <f aca="false">L62/(1+0.1238)</f>
        <v>124448.789820253</v>
      </c>
      <c r="S62" s="4" t="n">
        <f aca="false">L62</f>
        <v>139855.55</v>
      </c>
      <c r="T62" s="5" t="n">
        <f aca="false">IFERROR(S62/R62,0)</f>
        <v>1.1238</v>
      </c>
      <c r="U62" s="5" t="n">
        <f aca="false">IFERROR((L62-V62)/V62,0)</f>
        <v>-0.1435</v>
      </c>
      <c r="V62" s="4" t="n">
        <f aca="false">L62/0.8565</f>
        <v>163287.273788675</v>
      </c>
    </row>
    <row r="63" customFormat="false" ht="15" hidden="false" customHeight="false" outlineLevel="0" collapsed="false">
      <c r="A63" s="2" t="n">
        <v>45617</v>
      </c>
      <c r="B63" s="3" t="s">
        <v>91</v>
      </c>
      <c r="C63" s="3" t="s">
        <v>88</v>
      </c>
      <c r="D63" s="3" t="n">
        <v>2024</v>
      </c>
      <c r="E63" s="3" t="s">
        <v>38</v>
      </c>
      <c r="F63" s="3" t="s">
        <v>45</v>
      </c>
      <c r="G63" s="3" t="s">
        <v>49</v>
      </c>
      <c r="H63" s="3" t="s">
        <v>40</v>
      </c>
      <c r="I63" s="3" t="s">
        <v>57</v>
      </c>
      <c r="J63" s="3" t="n">
        <v>168</v>
      </c>
      <c r="K63" s="4" t="n">
        <v>5089.54</v>
      </c>
      <c r="L63" s="4" t="n">
        <f aca="false">J63*K63</f>
        <v>855042.72</v>
      </c>
      <c r="M63" s="4" t="n">
        <f aca="false">L63*0.5715</f>
        <v>488656.91448</v>
      </c>
      <c r="N63" s="4" t="n">
        <f aca="false">L63-M63</f>
        <v>366385.80552</v>
      </c>
      <c r="O63" s="5" t="n">
        <f aca="false">IFERROR(N63/L63,0)</f>
        <v>0.4285</v>
      </c>
      <c r="P63" s="3" t="s">
        <v>29</v>
      </c>
      <c r="Q63" s="3" t="s">
        <v>30</v>
      </c>
      <c r="R63" s="4" t="n">
        <f aca="false">L63/(1+0.1325)</f>
        <v>755004.609271523</v>
      </c>
      <c r="S63" s="4" t="n">
        <f aca="false">L63</f>
        <v>855042.72</v>
      </c>
      <c r="T63" s="5" t="n">
        <f aca="false">IFERROR(S63/R63,0)</f>
        <v>1.1325</v>
      </c>
      <c r="U63" s="5" t="n">
        <f aca="false">IFERROR((L63-V63)/V63,0)</f>
        <v>0.0169999999999998</v>
      </c>
      <c r="V63" s="4" t="n">
        <f aca="false">L63/1.017</f>
        <v>840749.970501475</v>
      </c>
    </row>
    <row r="64" customFormat="false" ht="15" hidden="false" customHeight="false" outlineLevel="0" collapsed="false">
      <c r="A64" s="2" t="n">
        <v>45621</v>
      </c>
      <c r="B64" s="3" t="s">
        <v>91</v>
      </c>
      <c r="C64" s="3" t="s">
        <v>88</v>
      </c>
      <c r="D64" s="3" t="n">
        <v>2024</v>
      </c>
      <c r="E64" s="3" t="s">
        <v>31</v>
      </c>
      <c r="F64" s="3" t="s">
        <v>74</v>
      </c>
      <c r="G64" s="3" t="s">
        <v>33</v>
      </c>
      <c r="H64" s="3" t="s">
        <v>65</v>
      </c>
      <c r="I64" s="3" t="s">
        <v>84</v>
      </c>
      <c r="J64" s="3" t="n">
        <v>112</v>
      </c>
      <c r="K64" s="4" t="n">
        <v>2038.56</v>
      </c>
      <c r="L64" s="4" t="n">
        <f aca="false">J64*K64</f>
        <v>228318.72</v>
      </c>
      <c r="M64" s="4" t="n">
        <f aca="false">L64*0.5996</f>
        <v>136899.904512</v>
      </c>
      <c r="N64" s="4" t="n">
        <f aca="false">L64-M64</f>
        <v>91418.815488</v>
      </c>
      <c r="O64" s="5" t="n">
        <f aca="false">IFERROR(N64/L64,0)</f>
        <v>0.4004</v>
      </c>
      <c r="P64" s="3" t="s">
        <v>35</v>
      </c>
      <c r="Q64" s="3" t="s">
        <v>30</v>
      </c>
      <c r="R64" s="4" t="n">
        <f aca="false">L64/(1+-0.1693)</f>
        <v>274850.993138317</v>
      </c>
      <c r="S64" s="4" t="n">
        <f aca="false">L64</f>
        <v>228318.72</v>
      </c>
      <c r="T64" s="5" t="n">
        <f aca="false">IFERROR(S64/R64,0)</f>
        <v>0.8307</v>
      </c>
      <c r="U64" s="5" t="n">
        <f aca="false">IFERROR((L64-V64)/V64,0)</f>
        <v>0.0948999999999999</v>
      </c>
      <c r="V64" s="4" t="n">
        <f aca="false">L64/1.0949</f>
        <v>208529.29034615</v>
      </c>
    </row>
    <row r="65" customFormat="false" ht="15" hidden="false" customHeight="false" outlineLevel="0" collapsed="false">
      <c r="A65" s="2" t="n">
        <v>45623</v>
      </c>
      <c r="B65" s="3" t="s">
        <v>91</v>
      </c>
      <c r="C65" s="3" t="s">
        <v>88</v>
      </c>
      <c r="D65" s="3" t="n">
        <v>2024</v>
      </c>
      <c r="E65" s="3" t="s">
        <v>47</v>
      </c>
      <c r="F65" s="3" t="s">
        <v>89</v>
      </c>
      <c r="G65" s="3" t="s">
        <v>64</v>
      </c>
      <c r="H65" s="3" t="s">
        <v>27</v>
      </c>
      <c r="I65" s="3" t="s">
        <v>28</v>
      </c>
      <c r="J65" s="3" t="n">
        <v>12</v>
      </c>
      <c r="K65" s="4" t="n">
        <v>2851.94</v>
      </c>
      <c r="L65" s="4" t="n">
        <f aca="false">J65*K65</f>
        <v>34223.28</v>
      </c>
      <c r="M65" s="4" t="n">
        <f aca="false">L65*0.6891</f>
        <v>23583.262248</v>
      </c>
      <c r="N65" s="4" t="n">
        <f aca="false">L65-M65</f>
        <v>10640.017752</v>
      </c>
      <c r="O65" s="5" t="n">
        <f aca="false">IFERROR(N65/L65,0)</f>
        <v>0.3109</v>
      </c>
      <c r="P65" s="3" t="s">
        <v>29</v>
      </c>
      <c r="Q65" s="3" t="s">
        <v>36</v>
      </c>
      <c r="R65" s="4" t="n">
        <f aca="false">L65/(1+-0.1458)</f>
        <v>40064.7155232967</v>
      </c>
      <c r="S65" s="4" t="n">
        <f aca="false">L65</f>
        <v>34223.28</v>
      </c>
      <c r="T65" s="5" t="n">
        <f aca="false">IFERROR(S65/R65,0)</f>
        <v>0.8542</v>
      </c>
      <c r="U65" s="5" t="n">
        <f aca="false">IFERROR((L65-V65)/V65,0)</f>
        <v>0.0065</v>
      </c>
      <c r="V65" s="4" t="n">
        <f aca="false">L65/1.0065</f>
        <v>34002.2652757079</v>
      </c>
    </row>
    <row r="66" customFormat="false" ht="15" hidden="false" customHeight="false" outlineLevel="0" collapsed="false">
      <c r="A66" s="2" t="n">
        <v>45623</v>
      </c>
      <c r="B66" s="3" t="s">
        <v>91</v>
      </c>
      <c r="C66" s="3" t="s">
        <v>88</v>
      </c>
      <c r="D66" s="3" t="n">
        <v>2024</v>
      </c>
      <c r="E66" s="3" t="s">
        <v>53</v>
      </c>
      <c r="F66" s="3" t="s">
        <v>77</v>
      </c>
      <c r="G66" s="3" t="s">
        <v>70</v>
      </c>
      <c r="H66" s="3" t="s">
        <v>43</v>
      </c>
      <c r="I66" s="3" t="s">
        <v>44</v>
      </c>
      <c r="J66" s="3" t="n">
        <v>331</v>
      </c>
      <c r="K66" s="4" t="n">
        <v>4924.36</v>
      </c>
      <c r="L66" s="4" t="n">
        <f aca="false">J66*K66</f>
        <v>1629963.16</v>
      </c>
      <c r="M66" s="4" t="n">
        <f aca="false">L66*0.7127</f>
        <v>1161674.744132</v>
      </c>
      <c r="N66" s="4" t="n">
        <f aca="false">L66-M66</f>
        <v>468288.415868</v>
      </c>
      <c r="O66" s="5" t="n">
        <f aca="false">IFERROR(N66/L66,0)</f>
        <v>0.2873</v>
      </c>
      <c r="P66" s="3" t="s">
        <v>35</v>
      </c>
      <c r="Q66" s="3" t="s">
        <v>36</v>
      </c>
      <c r="R66" s="4" t="n">
        <f aca="false">L66/(1+-0.1503)</f>
        <v>1918280.75791456</v>
      </c>
      <c r="S66" s="4" t="n">
        <f aca="false">L66</f>
        <v>1629963.16</v>
      </c>
      <c r="T66" s="5" t="n">
        <f aca="false">IFERROR(S66/R66,0)</f>
        <v>0.8497</v>
      </c>
      <c r="U66" s="5" t="n">
        <f aca="false">IFERROR((L66-V66)/V66,0)</f>
        <v>0.1421</v>
      </c>
      <c r="V66" s="4" t="n">
        <f aca="false">L66/1.1421</f>
        <v>1427163.26066019</v>
      </c>
    </row>
    <row r="67" customFormat="false" ht="15" hidden="false" customHeight="false" outlineLevel="0" collapsed="false">
      <c r="A67" s="2" t="n">
        <v>45625</v>
      </c>
      <c r="B67" s="3" t="s">
        <v>91</v>
      </c>
      <c r="C67" s="3" t="s">
        <v>88</v>
      </c>
      <c r="D67" s="3" t="n">
        <v>2024</v>
      </c>
      <c r="E67" s="3" t="s">
        <v>24</v>
      </c>
      <c r="F67" s="3" t="s">
        <v>76</v>
      </c>
      <c r="G67" s="3" t="s">
        <v>64</v>
      </c>
      <c r="H67" s="3" t="s">
        <v>40</v>
      </c>
      <c r="I67" s="3" t="s">
        <v>51</v>
      </c>
      <c r="J67" s="3" t="n">
        <v>497</v>
      </c>
      <c r="K67" s="4" t="n">
        <v>1417.12</v>
      </c>
      <c r="L67" s="4" t="n">
        <f aca="false">J67*K67</f>
        <v>704308.64</v>
      </c>
      <c r="M67" s="4" t="n">
        <f aca="false">L67*0.5769</f>
        <v>406315.654416</v>
      </c>
      <c r="N67" s="4" t="n">
        <f aca="false">L67-M67</f>
        <v>297992.985584</v>
      </c>
      <c r="O67" s="5" t="n">
        <f aca="false">IFERROR(N67/L67,0)</f>
        <v>0.4231</v>
      </c>
      <c r="P67" s="3" t="s">
        <v>29</v>
      </c>
      <c r="Q67" s="3" t="s">
        <v>30</v>
      </c>
      <c r="R67" s="4" t="n">
        <f aca="false">L67/(1+0.124)</f>
        <v>626609.110320285</v>
      </c>
      <c r="S67" s="4" t="n">
        <f aca="false">L67</f>
        <v>704308.64</v>
      </c>
      <c r="T67" s="5" t="n">
        <f aca="false">IFERROR(S67/R67,0)</f>
        <v>1.124</v>
      </c>
      <c r="U67" s="5" t="n">
        <f aca="false">IFERROR((L67-V67)/V67,0)</f>
        <v>-0.0137</v>
      </c>
      <c r="V67" s="4" t="n">
        <f aca="false">L67/0.9863</f>
        <v>714091.696238467</v>
      </c>
    </row>
    <row r="68" customFormat="false" ht="15" hidden="false" customHeight="false" outlineLevel="0" collapsed="false">
      <c r="A68" s="2" t="n">
        <v>45631</v>
      </c>
      <c r="B68" s="3" t="s">
        <v>92</v>
      </c>
      <c r="C68" s="3" t="s">
        <v>88</v>
      </c>
      <c r="D68" s="3" t="n">
        <v>2024</v>
      </c>
      <c r="E68" s="3" t="s">
        <v>53</v>
      </c>
      <c r="F68" s="3" t="s">
        <v>77</v>
      </c>
      <c r="G68" s="3" t="s">
        <v>64</v>
      </c>
      <c r="H68" s="3" t="s">
        <v>27</v>
      </c>
      <c r="I68" s="3" t="s">
        <v>34</v>
      </c>
      <c r="J68" s="3" t="n">
        <v>244</v>
      </c>
      <c r="K68" s="4" t="n">
        <v>1784.96</v>
      </c>
      <c r="L68" s="4" t="n">
        <f aca="false">J68*K68</f>
        <v>435530.24</v>
      </c>
      <c r="M68" s="4" t="n">
        <f aca="false">L68*0.5057</f>
        <v>220247.642368</v>
      </c>
      <c r="N68" s="4" t="n">
        <f aca="false">L68-M68</f>
        <v>215282.597632</v>
      </c>
      <c r="O68" s="5" t="n">
        <f aca="false">IFERROR(N68/L68,0)</f>
        <v>0.4943</v>
      </c>
      <c r="P68" s="3" t="s">
        <v>29</v>
      </c>
      <c r="Q68" s="3" t="s">
        <v>36</v>
      </c>
      <c r="R68" s="4" t="n">
        <f aca="false">L68/(1+-0.0945)</f>
        <v>480983.147432358</v>
      </c>
      <c r="S68" s="4" t="n">
        <f aca="false">L68</f>
        <v>435530.24</v>
      </c>
      <c r="T68" s="5" t="n">
        <f aca="false">IFERROR(S68/R68,0)</f>
        <v>0.9055</v>
      </c>
      <c r="U68" s="5" t="n">
        <f aca="false">IFERROR((L68-V68)/V68,0)</f>
        <v>-0.0782000000000001</v>
      </c>
      <c r="V68" s="4" t="n">
        <f aca="false">L68/0.9218</f>
        <v>472478.021262747</v>
      </c>
    </row>
    <row r="69" customFormat="false" ht="15" hidden="false" customHeight="false" outlineLevel="0" collapsed="false">
      <c r="A69" s="2" t="n">
        <v>45632</v>
      </c>
      <c r="B69" s="3" t="s">
        <v>92</v>
      </c>
      <c r="C69" s="3" t="s">
        <v>88</v>
      </c>
      <c r="D69" s="3" t="n">
        <v>2024</v>
      </c>
      <c r="E69" s="3" t="s">
        <v>24</v>
      </c>
      <c r="F69" s="3" t="s">
        <v>25</v>
      </c>
      <c r="G69" s="3" t="s">
        <v>70</v>
      </c>
      <c r="H69" s="3" t="s">
        <v>40</v>
      </c>
      <c r="I69" s="3" t="s">
        <v>57</v>
      </c>
      <c r="J69" s="3" t="n">
        <v>456</v>
      </c>
      <c r="K69" s="4" t="n">
        <v>4840.25</v>
      </c>
      <c r="L69" s="4" t="n">
        <f aca="false">J69*K69</f>
        <v>2207154</v>
      </c>
      <c r="M69" s="4" t="n">
        <f aca="false">L69*0.5431</f>
        <v>1198705.3374</v>
      </c>
      <c r="N69" s="4" t="n">
        <f aca="false">L69-M69</f>
        <v>1008448.6626</v>
      </c>
      <c r="O69" s="5" t="n">
        <f aca="false">IFERROR(N69/L69,0)</f>
        <v>0.4569</v>
      </c>
      <c r="P69" s="3" t="s">
        <v>35</v>
      </c>
      <c r="Q69" s="3" t="s">
        <v>36</v>
      </c>
      <c r="R69" s="4" t="n">
        <f aca="false">L69/(1+-0.1772)</f>
        <v>2682491.49246475</v>
      </c>
      <c r="S69" s="4" t="n">
        <f aca="false">L69</f>
        <v>2207154</v>
      </c>
      <c r="T69" s="5" t="n">
        <f aca="false">IFERROR(S69/R69,0)</f>
        <v>0.8228</v>
      </c>
      <c r="U69" s="5" t="n">
        <f aca="false">IFERROR((L69-V69)/V69,0)</f>
        <v>0.2381</v>
      </c>
      <c r="V69" s="4" t="n">
        <f aca="false">L69/1.2381</f>
        <v>1782694.45117519</v>
      </c>
    </row>
    <row r="70" customFormat="false" ht="15" hidden="false" customHeight="false" outlineLevel="0" collapsed="false">
      <c r="A70" s="2" t="n">
        <v>45634</v>
      </c>
      <c r="B70" s="3" t="s">
        <v>92</v>
      </c>
      <c r="C70" s="3" t="s">
        <v>88</v>
      </c>
      <c r="D70" s="3" t="n">
        <v>2024</v>
      </c>
      <c r="E70" s="3" t="s">
        <v>38</v>
      </c>
      <c r="F70" s="3" t="s">
        <v>79</v>
      </c>
      <c r="G70" s="3" t="s">
        <v>37</v>
      </c>
      <c r="H70" s="3" t="s">
        <v>65</v>
      </c>
      <c r="I70" s="3" t="s">
        <v>84</v>
      </c>
      <c r="J70" s="3" t="n">
        <v>121</v>
      </c>
      <c r="K70" s="4" t="n">
        <v>4000.83</v>
      </c>
      <c r="L70" s="4" t="n">
        <f aca="false">J70*K70</f>
        <v>484100.43</v>
      </c>
      <c r="M70" s="4" t="n">
        <f aca="false">L70*0.6992</f>
        <v>338483.020656</v>
      </c>
      <c r="N70" s="4" t="n">
        <f aca="false">L70-M70</f>
        <v>145617.409344</v>
      </c>
      <c r="O70" s="5" t="n">
        <f aca="false">IFERROR(N70/L70,0)</f>
        <v>0.3008</v>
      </c>
      <c r="P70" s="3" t="s">
        <v>29</v>
      </c>
      <c r="Q70" s="3" t="s">
        <v>36</v>
      </c>
      <c r="R70" s="4" t="n">
        <f aca="false">L70/(1+-0.1205)</f>
        <v>550426.867538374</v>
      </c>
      <c r="S70" s="4" t="n">
        <f aca="false">L70</f>
        <v>484100.43</v>
      </c>
      <c r="T70" s="5" t="n">
        <f aca="false">IFERROR(S70/R70,0)</f>
        <v>0.8795</v>
      </c>
      <c r="U70" s="5" t="n">
        <f aca="false">IFERROR((L70-V70)/V70,0)</f>
        <v>-0.1057</v>
      </c>
      <c r="V70" s="4" t="n">
        <f aca="false">L70/0.8943</f>
        <v>541317.712177122</v>
      </c>
    </row>
    <row r="71" customFormat="false" ht="15" hidden="false" customHeight="false" outlineLevel="0" collapsed="false">
      <c r="A71" s="2" t="n">
        <v>45635</v>
      </c>
      <c r="B71" s="3" t="s">
        <v>92</v>
      </c>
      <c r="C71" s="3" t="s">
        <v>88</v>
      </c>
      <c r="D71" s="3" t="n">
        <v>2024</v>
      </c>
      <c r="E71" s="3" t="s">
        <v>24</v>
      </c>
      <c r="F71" s="3" t="s">
        <v>25</v>
      </c>
      <c r="G71" s="3" t="s">
        <v>61</v>
      </c>
      <c r="H71" s="3" t="s">
        <v>27</v>
      </c>
      <c r="I71" s="3" t="s">
        <v>34</v>
      </c>
      <c r="J71" s="3" t="n">
        <v>359</v>
      </c>
      <c r="K71" s="4" t="n">
        <v>2090.86</v>
      </c>
      <c r="L71" s="4" t="n">
        <f aca="false">J71*K71</f>
        <v>750618.74</v>
      </c>
      <c r="M71" s="4" t="n">
        <f aca="false">L71*0.5082</f>
        <v>381464.443668</v>
      </c>
      <c r="N71" s="4" t="n">
        <f aca="false">L71-M71</f>
        <v>369154.296332</v>
      </c>
      <c r="O71" s="5" t="n">
        <f aca="false">IFERROR(N71/L71,0)</f>
        <v>0.4918</v>
      </c>
      <c r="P71" s="3" t="s">
        <v>35</v>
      </c>
      <c r="Q71" s="3" t="s">
        <v>30</v>
      </c>
      <c r="R71" s="4" t="n">
        <f aca="false">L71/(1+-0.0282)</f>
        <v>772400.432187693</v>
      </c>
      <c r="S71" s="4" t="n">
        <f aca="false">L71</f>
        <v>750618.74</v>
      </c>
      <c r="T71" s="5" t="n">
        <f aca="false">IFERROR(S71/R71,0)</f>
        <v>0.9718</v>
      </c>
      <c r="U71" s="5" t="n">
        <f aca="false">IFERROR((L71-V71)/V71,0)</f>
        <v>0.2511</v>
      </c>
      <c r="V71" s="4" t="n">
        <f aca="false">L71/1.2511</f>
        <v>599967.021021501</v>
      </c>
    </row>
    <row r="72" customFormat="false" ht="15" hidden="false" customHeight="false" outlineLevel="0" collapsed="false">
      <c r="A72" s="2" t="n">
        <v>45637</v>
      </c>
      <c r="B72" s="3" t="s">
        <v>92</v>
      </c>
      <c r="C72" s="3" t="s">
        <v>88</v>
      </c>
      <c r="D72" s="3" t="n">
        <v>2024</v>
      </c>
      <c r="E72" s="3" t="s">
        <v>47</v>
      </c>
      <c r="F72" s="3" t="s">
        <v>50</v>
      </c>
      <c r="G72" s="3" t="s">
        <v>83</v>
      </c>
      <c r="H72" s="3" t="s">
        <v>40</v>
      </c>
      <c r="I72" s="3" t="s">
        <v>51</v>
      </c>
      <c r="J72" s="3" t="n">
        <v>450</v>
      </c>
      <c r="K72" s="4" t="n">
        <v>344.18</v>
      </c>
      <c r="L72" s="4" t="n">
        <f aca="false">J72*K72</f>
        <v>154881</v>
      </c>
      <c r="M72" s="4" t="n">
        <f aca="false">L72*0.5547</f>
        <v>85912.4907</v>
      </c>
      <c r="N72" s="4" t="n">
        <f aca="false">L72-M72</f>
        <v>68968.5093</v>
      </c>
      <c r="O72" s="5" t="n">
        <f aca="false">IFERROR(N72/L72,0)</f>
        <v>0.4453</v>
      </c>
      <c r="P72" s="3" t="s">
        <v>29</v>
      </c>
      <c r="Q72" s="3" t="s">
        <v>36</v>
      </c>
      <c r="R72" s="4" t="n">
        <f aca="false">L72/(1+-0.0704)</f>
        <v>166610.370051635</v>
      </c>
      <c r="S72" s="4" t="n">
        <f aca="false">L72</f>
        <v>154881</v>
      </c>
      <c r="T72" s="5" t="n">
        <f aca="false">IFERROR(S72/R72,0)</f>
        <v>0.9296</v>
      </c>
      <c r="U72" s="5" t="n">
        <f aca="false">IFERROR((L72-V72)/V72,0)</f>
        <v>-0.00649999999999986</v>
      </c>
      <c r="V72" s="4" t="n">
        <f aca="false">L72/0.9935</f>
        <v>155894.313034726</v>
      </c>
    </row>
    <row r="73" customFormat="false" ht="15" hidden="false" customHeight="false" outlineLevel="0" collapsed="false">
      <c r="A73" s="2" t="n">
        <v>45639</v>
      </c>
      <c r="B73" s="3" t="s">
        <v>92</v>
      </c>
      <c r="C73" s="3" t="s">
        <v>88</v>
      </c>
      <c r="D73" s="3" t="n">
        <v>2024</v>
      </c>
      <c r="E73" s="3" t="s">
        <v>31</v>
      </c>
      <c r="F73" s="3" t="s">
        <v>32</v>
      </c>
      <c r="G73" s="3" t="s">
        <v>61</v>
      </c>
      <c r="H73" s="3" t="s">
        <v>71</v>
      </c>
      <c r="I73" s="3" t="s">
        <v>72</v>
      </c>
      <c r="J73" s="3" t="n">
        <v>48</v>
      </c>
      <c r="K73" s="4" t="n">
        <v>1351.84</v>
      </c>
      <c r="L73" s="4" t="n">
        <f aca="false">J73*K73</f>
        <v>64888.32</v>
      </c>
      <c r="M73" s="4" t="n">
        <f aca="false">L73*0.7184</f>
        <v>46615.769088</v>
      </c>
      <c r="N73" s="4" t="n">
        <f aca="false">L73-M73</f>
        <v>18272.550912</v>
      </c>
      <c r="O73" s="5" t="n">
        <f aca="false">IFERROR(N73/L73,0)</f>
        <v>0.2816</v>
      </c>
      <c r="P73" s="3" t="s">
        <v>29</v>
      </c>
      <c r="Q73" s="3" t="s">
        <v>30</v>
      </c>
      <c r="R73" s="4" t="n">
        <f aca="false">L73/(1+-0.1355)</f>
        <v>75058.7854251012</v>
      </c>
      <c r="S73" s="4" t="n">
        <f aca="false">L73</f>
        <v>64888.32</v>
      </c>
      <c r="T73" s="5" t="n">
        <f aca="false">IFERROR(S73/R73,0)</f>
        <v>0.8645</v>
      </c>
      <c r="U73" s="5" t="n">
        <f aca="false">IFERROR((L73-V73)/V73,0)</f>
        <v>0.2829</v>
      </c>
      <c r="V73" s="4" t="n">
        <f aca="false">L73/1.2829</f>
        <v>50579.406033206</v>
      </c>
    </row>
    <row r="74" customFormat="false" ht="15" hidden="false" customHeight="false" outlineLevel="0" collapsed="false">
      <c r="A74" s="2" t="n">
        <v>45645</v>
      </c>
      <c r="B74" s="3" t="s">
        <v>92</v>
      </c>
      <c r="C74" s="3" t="s">
        <v>88</v>
      </c>
      <c r="D74" s="3" t="n">
        <v>2024</v>
      </c>
      <c r="E74" s="3" t="s">
        <v>53</v>
      </c>
      <c r="F74" s="3" t="s">
        <v>77</v>
      </c>
      <c r="G74" s="3" t="s">
        <v>64</v>
      </c>
      <c r="H74" s="3" t="s">
        <v>40</v>
      </c>
      <c r="I74" s="3" t="s">
        <v>51</v>
      </c>
      <c r="J74" s="3" t="n">
        <v>323</v>
      </c>
      <c r="K74" s="4" t="n">
        <v>1835.61</v>
      </c>
      <c r="L74" s="4" t="n">
        <f aca="false">J74*K74</f>
        <v>592902.03</v>
      </c>
      <c r="M74" s="4" t="n">
        <f aca="false">L74*0.5139</f>
        <v>304692.353217</v>
      </c>
      <c r="N74" s="4" t="n">
        <f aca="false">L74-M74</f>
        <v>288209.676783</v>
      </c>
      <c r="O74" s="5" t="n">
        <f aca="false">IFERROR(N74/L74,0)</f>
        <v>0.4861</v>
      </c>
      <c r="P74" s="3" t="s">
        <v>35</v>
      </c>
      <c r="Q74" s="3" t="s">
        <v>30</v>
      </c>
      <c r="R74" s="4" t="n">
        <f aca="false">L74/(1+0.0354)</f>
        <v>572630.896271972</v>
      </c>
      <c r="S74" s="4" t="n">
        <f aca="false">L74</f>
        <v>592902.03</v>
      </c>
      <c r="T74" s="5" t="n">
        <f aca="false">IFERROR(S74/R74,0)</f>
        <v>1.0354</v>
      </c>
      <c r="U74" s="5" t="n">
        <f aca="false">IFERROR((L74-V74)/V74,0)</f>
        <v>-0.0173</v>
      </c>
      <c r="V74" s="4" t="n">
        <f aca="false">L74/0.9827</f>
        <v>603339.808690343</v>
      </c>
    </row>
    <row r="75" customFormat="false" ht="15" hidden="false" customHeight="false" outlineLevel="0" collapsed="false">
      <c r="A75" s="2" t="n">
        <v>45646</v>
      </c>
      <c r="B75" s="3" t="s">
        <v>92</v>
      </c>
      <c r="C75" s="3" t="s">
        <v>88</v>
      </c>
      <c r="D75" s="3" t="n">
        <v>2024</v>
      </c>
      <c r="E75" s="3" t="s">
        <v>53</v>
      </c>
      <c r="F75" s="3" t="s">
        <v>54</v>
      </c>
      <c r="G75" s="3" t="s">
        <v>61</v>
      </c>
      <c r="H75" s="3" t="s">
        <v>27</v>
      </c>
      <c r="I75" s="3" t="s">
        <v>34</v>
      </c>
      <c r="J75" s="3" t="n">
        <v>128</v>
      </c>
      <c r="K75" s="4" t="n">
        <v>6536.77</v>
      </c>
      <c r="L75" s="4" t="n">
        <f aca="false">J75*K75</f>
        <v>836706.56</v>
      </c>
      <c r="M75" s="4" t="n">
        <f aca="false">L75*0.5103</f>
        <v>426971.357568</v>
      </c>
      <c r="N75" s="4" t="n">
        <f aca="false">L75-M75</f>
        <v>409735.202432</v>
      </c>
      <c r="O75" s="5" t="n">
        <f aca="false">IFERROR(N75/L75,0)</f>
        <v>0.4897</v>
      </c>
      <c r="P75" s="3" t="s">
        <v>29</v>
      </c>
      <c r="Q75" s="3" t="s">
        <v>36</v>
      </c>
      <c r="R75" s="4" t="n">
        <f aca="false">L75/(1+0.0064)</f>
        <v>831385.691573927</v>
      </c>
      <c r="S75" s="4" t="n">
        <f aca="false">L75</f>
        <v>836706.56</v>
      </c>
      <c r="T75" s="5" t="n">
        <f aca="false">IFERROR(S75/R75,0)</f>
        <v>1.0064</v>
      </c>
      <c r="U75" s="5" t="n">
        <f aca="false">IFERROR((L75-V75)/V75,0)</f>
        <v>0.1947</v>
      </c>
      <c r="V75" s="4" t="n">
        <f aca="false">L75/1.1947</f>
        <v>700348.673307106</v>
      </c>
    </row>
    <row r="76" customFormat="false" ht="15" hidden="false" customHeight="false" outlineLevel="0" collapsed="false">
      <c r="A76" s="2" t="n">
        <v>45674</v>
      </c>
      <c r="B76" s="3" t="s">
        <v>22</v>
      </c>
      <c r="C76" s="3" t="s">
        <v>23</v>
      </c>
      <c r="D76" s="3" t="n">
        <v>2025</v>
      </c>
      <c r="E76" s="3" t="s">
        <v>47</v>
      </c>
      <c r="F76" s="3" t="s">
        <v>50</v>
      </c>
      <c r="G76" s="3" t="s">
        <v>26</v>
      </c>
      <c r="H76" s="3" t="s">
        <v>43</v>
      </c>
      <c r="I76" s="3" t="s">
        <v>46</v>
      </c>
      <c r="J76" s="3" t="n">
        <v>212</v>
      </c>
      <c r="K76" s="4" t="n">
        <v>5836.23</v>
      </c>
      <c r="L76" s="4" t="n">
        <f aca="false">J76*K76</f>
        <v>1237280.76</v>
      </c>
      <c r="M76" s="4" t="n">
        <f aca="false">L76*0.5642</f>
        <v>698073.804792</v>
      </c>
      <c r="N76" s="4" t="n">
        <f aca="false">L76-M76</f>
        <v>539206.955208</v>
      </c>
      <c r="O76" s="5" t="n">
        <f aca="false">IFERROR(N76/L76,0)</f>
        <v>0.4358</v>
      </c>
      <c r="P76" s="3" t="s">
        <v>35</v>
      </c>
      <c r="Q76" s="3" t="s">
        <v>30</v>
      </c>
      <c r="R76" s="4" t="n">
        <f aca="false">L76/(1+0.1039)</f>
        <v>1120826.85025818</v>
      </c>
      <c r="S76" s="4" t="n">
        <f aca="false">L76</f>
        <v>1237280.76</v>
      </c>
      <c r="T76" s="5" t="n">
        <f aca="false">IFERROR(S76/R76,0)</f>
        <v>1.1039</v>
      </c>
      <c r="U76" s="5" t="n">
        <f aca="false">IFERROR((L76-V76)/V76,0)</f>
        <v>-0.1598</v>
      </c>
      <c r="V76" s="4" t="n">
        <f aca="false">L76/0.8402</f>
        <v>1472602.6660319</v>
      </c>
    </row>
    <row r="77" customFormat="false" ht="15" hidden="false" customHeight="false" outlineLevel="0" collapsed="false">
      <c r="A77" s="2" t="n">
        <v>45679</v>
      </c>
      <c r="B77" s="3" t="s">
        <v>22</v>
      </c>
      <c r="C77" s="3" t="s">
        <v>23</v>
      </c>
      <c r="D77" s="3" t="n">
        <v>2025</v>
      </c>
      <c r="E77" s="3" t="s">
        <v>53</v>
      </c>
      <c r="F77" s="3" t="s">
        <v>77</v>
      </c>
      <c r="G77" s="3" t="s">
        <v>49</v>
      </c>
      <c r="H77" s="3" t="s">
        <v>71</v>
      </c>
      <c r="I77" s="3" t="s">
        <v>72</v>
      </c>
      <c r="J77" s="3" t="n">
        <v>61</v>
      </c>
      <c r="K77" s="4" t="n">
        <v>2690.14</v>
      </c>
      <c r="L77" s="4" t="n">
        <f aca="false">J77*K77</f>
        <v>164098.54</v>
      </c>
      <c r="M77" s="4" t="n">
        <f aca="false">L77*0.666</f>
        <v>109289.62764</v>
      </c>
      <c r="N77" s="4" t="n">
        <f aca="false">L77-M77</f>
        <v>54808.91236</v>
      </c>
      <c r="O77" s="5" t="n">
        <f aca="false">IFERROR(N77/L77,0)</f>
        <v>0.334</v>
      </c>
      <c r="P77" s="3" t="s">
        <v>29</v>
      </c>
      <c r="Q77" s="3" t="s">
        <v>36</v>
      </c>
      <c r="R77" s="4" t="n">
        <f aca="false">L77/(1+0.1175)</f>
        <v>146844.331096197</v>
      </c>
      <c r="S77" s="4" t="n">
        <f aca="false">L77</f>
        <v>164098.54</v>
      </c>
      <c r="T77" s="5" t="n">
        <f aca="false">IFERROR(S77/R77,0)</f>
        <v>1.1175</v>
      </c>
      <c r="U77" s="5" t="n">
        <f aca="false">IFERROR((L77-V77)/V77,0)</f>
        <v>0.0971</v>
      </c>
      <c r="V77" s="4" t="n">
        <f aca="false">L77/1.0971</f>
        <v>149574.824537417</v>
      </c>
    </row>
    <row r="78" customFormat="false" ht="15" hidden="false" customHeight="false" outlineLevel="0" collapsed="false">
      <c r="A78" s="2" t="n">
        <v>45680</v>
      </c>
      <c r="B78" s="3" t="s">
        <v>22</v>
      </c>
      <c r="C78" s="3" t="s">
        <v>23</v>
      </c>
      <c r="D78" s="3" t="n">
        <v>2025</v>
      </c>
      <c r="E78" s="3" t="s">
        <v>38</v>
      </c>
      <c r="F78" s="3" t="s">
        <v>45</v>
      </c>
      <c r="G78" s="3" t="s">
        <v>61</v>
      </c>
      <c r="H78" s="3" t="s">
        <v>65</v>
      </c>
      <c r="I78" s="3" t="s">
        <v>68</v>
      </c>
      <c r="J78" s="3" t="n">
        <v>375</v>
      </c>
      <c r="K78" s="4" t="n">
        <v>2728.05</v>
      </c>
      <c r="L78" s="4" t="n">
        <f aca="false">J78*K78</f>
        <v>1023018.75</v>
      </c>
      <c r="M78" s="4" t="n">
        <f aca="false">L78*0.7222</f>
        <v>738824.14125</v>
      </c>
      <c r="N78" s="4" t="n">
        <f aca="false">L78-M78</f>
        <v>284194.60875</v>
      </c>
      <c r="O78" s="5" t="n">
        <f aca="false">IFERROR(N78/L78,0)</f>
        <v>0.2778</v>
      </c>
      <c r="P78" s="3" t="s">
        <v>29</v>
      </c>
      <c r="Q78" s="3" t="s">
        <v>30</v>
      </c>
      <c r="R78" s="4" t="n">
        <f aca="false">L78/(1+0.0917)</f>
        <v>937087.798845837</v>
      </c>
      <c r="S78" s="4" t="n">
        <f aca="false">L78</f>
        <v>1023018.75</v>
      </c>
      <c r="T78" s="5" t="n">
        <f aca="false">IFERROR(S78/R78,0)</f>
        <v>1.0917</v>
      </c>
      <c r="U78" s="5" t="n">
        <f aca="false">IFERROR((L78-V78)/V78,0)</f>
        <v>0.0417000000000001</v>
      </c>
      <c r="V78" s="4" t="n">
        <f aca="false">L78/1.0417</f>
        <v>982066.573869636</v>
      </c>
    </row>
    <row r="79" customFormat="false" ht="15" hidden="false" customHeight="false" outlineLevel="0" collapsed="false">
      <c r="A79" s="2" t="n">
        <v>45686</v>
      </c>
      <c r="B79" s="3" t="s">
        <v>22</v>
      </c>
      <c r="C79" s="3" t="s">
        <v>23</v>
      </c>
      <c r="D79" s="3" t="n">
        <v>2025</v>
      </c>
      <c r="E79" s="3" t="s">
        <v>31</v>
      </c>
      <c r="F79" s="3" t="s">
        <v>32</v>
      </c>
      <c r="G79" s="3" t="s">
        <v>49</v>
      </c>
      <c r="H79" s="3" t="s">
        <v>27</v>
      </c>
      <c r="I79" s="3" t="s">
        <v>34</v>
      </c>
      <c r="J79" s="3" t="n">
        <v>16</v>
      </c>
      <c r="K79" s="4" t="n">
        <v>3280.74</v>
      </c>
      <c r="L79" s="4" t="n">
        <f aca="false">J79*K79</f>
        <v>52491.84</v>
      </c>
      <c r="M79" s="4" t="n">
        <f aca="false">L79*0.5557</f>
        <v>29169.715488</v>
      </c>
      <c r="N79" s="4" t="n">
        <f aca="false">L79-M79</f>
        <v>23322.124512</v>
      </c>
      <c r="O79" s="5" t="n">
        <f aca="false">IFERROR(N79/L79,0)</f>
        <v>0.4443</v>
      </c>
      <c r="P79" s="3" t="s">
        <v>29</v>
      </c>
      <c r="Q79" s="3" t="s">
        <v>36</v>
      </c>
      <c r="R79" s="4" t="n">
        <f aca="false">L79/(1+-0.0131)</f>
        <v>53188.6108014996</v>
      </c>
      <c r="S79" s="4" t="n">
        <f aca="false">L79</f>
        <v>52491.84</v>
      </c>
      <c r="T79" s="5" t="n">
        <f aca="false">IFERROR(S79/R79,0)</f>
        <v>0.9869</v>
      </c>
      <c r="U79" s="5" t="n">
        <f aca="false">IFERROR((L79-V79)/V79,0)</f>
        <v>-0.00180000000000002</v>
      </c>
      <c r="V79" s="4" t="n">
        <f aca="false">L79/0.9982</f>
        <v>52586.495692246</v>
      </c>
    </row>
    <row r="80" customFormat="false" ht="15" hidden="false" customHeight="false" outlineLevel="0" collapsed="false">
      <c r="A80" s="2" t="n">
        <v>45687</v>
      </c>
      <c r="B80" s="3" t="s">
        <v>22</v>
      </c>
      <c r="C80" s="3" t="s">
        <v>23</v>
      </c>
      <c r="D80" s="3" t="n">
        <v>2025</v>
      </c>
      <c r="E80" s="3" t="s">
        <v>31</v>
      </c>
      <c r="F80" s="3" t="s">
        <v>74</v>
      </c>
      <c r="G80" s="3" t="s">
        <v>26</v>
      </c>
      <c r="H80" s="3" t="s">
        <v>27</v>
      </c>
      <c r="I80" s="3" t="s">
        <v>78</v>
      </c>
      <c r="J80" s="3" t="n">
        <v>404</v>
      </c>
      <c r="K80" s="4" t="n">
        <v>1835.54</v>
      </c>
      <c r="L80" s="4" t="n">
        <f aca="false">J80*K80</f>
        <v>741558.16</v>
      </c>
      <c r="M80" s="4" t="n">
        <f aca="false">L80*0.7208</f>
        <v>534515.121728</v>
      </c>
      <c r="N80" s="4" t="n">
        <f aca="false">L80-M80</f>
        <v>207043.038272</v>
      </c>
      <c r="O80" s="5" t="n">
        <f aca="false">IFERROR(N80/L80,0)</f>
        <v>0.2792</v>
      </c>
      <c r="P80" s="3" t="s">
        <v>35</v>
      </c>
      <c r="Q80" s="3" t="s">
        <v>30</v>
      </c>
      <c r="R80" s="4" t="n">
        <f aca="false">L80/(1+-0.0873)</f>
        <v>812488.397063657</v>
      </c>
      <c r="S80" s="4" t="n">
        <f aca="false">L80</f>
        <v>741558.16</v>
      </c>
      <c r="T80" s="5" t="n">
        <f aca="false">IFERROR(S80/R80,0)</f>
        <v>0.9127</v>
      </c>
      <c r="U80" s="5" t="n">
        <f aca="false">IFERROR((L80-V80)/V80,0)</f>
        <v>-0.0077000000000001</v>
      </c>
      <c r="V80" s="4" t="n">
        <f aca="false">L80/0.9923</f>
        <v>747312.465988109</v>
      </c>
    </row>
    <row r="81" customFormat="false" ht="15" hidden="false" customHeight="false" outlineLevel="0" collapsed="false">
      <c r="A81" s="2" t="n">
        <v>45696</v>
      </c>
      <c r="B81" s="3" t="s">
        <v>52</v>
      </c>
      <c r="C81" s="3" t="s">
        <v>23</v>
      </c>
      <c r="D81" s="3" t="n">
        <v>2025</v>
      </c>
      <c r="E81" s="3" t="s">
        <v>31</v>
      </c>
      <c r="F81" s="3" t="s">
        <v>32</v>
      </c>
      <c r="G81" s="3" t="s">
        <v>70</v>
      </c>
      <c r="H81" s="3" t="s">
        <v>43</v>
      </c>
      <c r="I81" s="3" t="s">
        <v>58</v>
      </c>
      <c r="J81" s="3" t="n">
        <v>182</v>
      </c>
      <c r="K81" s="4" t="n">
        <v>7748.97</v>
      </c>
      <c r="L81" s="4" t="n">
        <f aca="false">J81*K81</f>
        <v>1410312.54</v>
      </c>
      <c r="M81" s="4" t="n">
        <f aca="false">L81*0.7448</f>
        <v>1050400.779792</v>
      </c>
      <c r="N81" s="4" t="n">
        <f aca="false">L81-M81</f>
        <v>359911.760208</v>
      </c>
      <c r="O81" s="5" t="n">
        <f aca="false">IFERROR(N81/L81,0)</f>
        <v>0.2552</v>
      </c>
      <c r="P81" s="3" t="s">
        <v>29</v>
      </c>
      <c r="Q81" s="3" t="s">
        <v>36</v>
      </c>
      <c r="R81" s="4" t="n">
        <f aca="false">L81/(1+-0.1701)</f>
        <v>1699376.47909387</v>
      </c>
      <c r="S81" s="4" t="n">
        <f aca="false">L81</f>
        <v>1410312.54</v>
      </c>
      <c r="T81" s="5" t="n">
        <f aca="false">IFERROR(S81/R81,0)</f>
        <v>0.8299</v>
      </c>
      <c r="U81" s="5" t="n">
        <f aca="false">IFERROR((L81-V81)/V81,0)</f>
        <v>-0.1967</v>
      </c>
      <c r="V81" s="4" t="n">
        <f aca="false">L81/0.8033</f>
        <v>1755648.62442425</v>
      </c>
    </row>
    <row r="82" customFormat="false" ht="15" hidden="false" customHeight="false" outlineLevel="0" collapsed="false">
      <c r="A82" s="2" t="n">
        <v>45701</v>
      </c>
      <c r="B82" s="3" t="s">
        <v>52</v>
      </c>
      <c r="C82" s="3" t="s">
        <v>23</v>
      </c>
      <c r="D82" s="3" t="n">
        <v>2025</v>
      </c>
      <c r="E82" s="3" t="s">
        <v>31</v>
      </c>
      <c r="F82" s="3" t="s">
        <v>74</v>
      </c>
      <c r="G82" s="3" t="s">
        <v>42</v>
      </c>
      <c r="H82" s="3" t="s">
        <v>40</v>
      </c>
      <c r="I82" s="3" t="s">
        <v>57</v>
      </c>
      <c r="J82" s="3" t="n">
        <v>265</v>
      </c>
      <c r="K82" s="4" t="n">
        <v>4771.01</v>
      </c>
      <c r="L82" s="4" t="n">
        <f aca="false">J82*K82</f>
        <v>1264317.65</v>
      </c>
      <c r="M82" s="4" t="n">
        <f aca="false">L82*0.7153</f>
        <v>904366.415045</v>
      </c>
      <c r="N82" s="4" t="n">
        <f aca="false">L82-M82</f>
        <v>359951.234955</v>
      </c>
      <c r="O82" s="5" t="n">
        <f aca="false">IFERROR(N82/L82,0)</f>
        <v>0.2847</v>
      </c>
      <c r="P82" s="3" t="s">
        <v>35</v>
      </c>
      <c r="Q82" s="3" t="s">
        <v>30</v>
      </c>
      <c r="R82" s="4" t="n">
        <f aca="false">L82/(1+0.1804)</f>
        <v>1071092.55337174</v>
      </c>
      <c r="S82" s="4" t="n">
        <f aca="false">L82</f>
        <v>1264317.65</v>
      </c>
      <c r="T82" s="5" t="n">
        <f aca="false">IFERROR(S82/R82,0)</f>
        <v>1.1804</v>
      </c>
      <c r="U82" s="5" t="n">
        <f aca="false">IFERROR((L82-V82)/V82,0)</f>
        <v>0.1477</v>
      </c>
      <c r="V82" s="4" t="n">
        <f aca="false">L82/1.1477</f>
        <v>1101609.87191775</v>
      </c>
    </row>
    <row r="83" customFormat="false" ht="15" hidden="false" customHeight="false" outlineLevel="0" collapsed="false">
      <c r="A83" s="2" t="n">
        <v>45705</v>
      </c>
      <c r="B83" s="3" t="s">
        <v>52</v>
      </c>
      <c r="C83" s="3" t="s">
        <v>23</v>
      </c>
      <c r="D83" s="3" t="n">
        <v>2025</v>
      </c>
      <c r="E83" s="3" t="s">
        <v>53</v>
      </c>
      <c r="F83" s="3" t="s">
        <v>54</v>
      </c>
      <c r="G83" s="3" t="s">
        <v>26</v>
      </c>
      <c r="H83" s="3" t="s">
        <v>65</v>
      </c>
      <c r="I83" s="3" t="s">
        <v>90</v>
      </c>
      <c r="J83" s="3" t="n">
        <v>145</v>
      </c>
      <c r="K83" s="4" t="n">
        <v>5483.89</v>
      </c>
      <c r="L83" s="4" t="n">
        <f aca="false">J83*K83</f>
        <v>795164.05</v>
      </c>
      <c r="M83" s="4" t="n">
        <f aca="false">L83*0.6191</f>
        <v>492286.063355</v>
      </c>
      <c r="N83" s="4" t="n">
        <f aca="false">L83-M83</f>
        <v>302877.986645</v>
      </c>
      <c r="O83" s="5" t="n">
        <f aca="false">IFERROR(N83/L83,0)</f>
        <v>0.3809</v>
      </c>
      <c r="P83" s="3" t="s">
        <v>35</v>
      </c>
      <c r="Q83" s="3" t="s">
        <v>36</v>
      </c>
      <c r="R83" s="4" t="n">
        <f aca="false">L83/(1+-0.0229)</f>
        <v>813800.071640569</v>
      </c>
      <c r="S83" s="4" t="n">
        <f aca="false">L83</f>
        <v>795164.05</v>
      </c>
      <c r="T83" s="5" t="n">
        <f aca="false">IFERROR(S83/R83,0)</f>
        <v>0.9771</v>
      </c>
      <c r="U83" s="5" t="n">
        <f aca="false">IFERROR((L83-V83)/V83,0)</f>
        <v>0.1772</v>
      </c>
      <c r="V83" s="4" t="n">
        <f aca="false">L83/1.1772</f>
        <v>675470.650696568</v>
      </c>
    </row>
    <row r="84" customFormat="false" ht="15" hidden="false" customHeight="false" outlineLevel="0" collapsed="false">
      <c r="A84" s="2" t="n">
        <v>45712</v>
      </c>
      <c r="B84" s="3" t="s">
        <v>52</v>
      </c>
      <c r="C84" s="3" t="s">
        <v>23</v>
      </c>
      <c r="D84" s="3" t="n">
        <v>2025</v>
      </c>
      <c r="E84" s="3" t="s">
        <v>31</v>
      </c>
      <c r="F84" s="3" t="s">
        <v>60</v>
      </c>
      <c r="G84" s="3" t="s">
        <v>56</v>
      </c>
      <c r="H84" s="3" t="s">
        <v>71</v>
      </c>
      <c r="I84" s="3" t="s">
        <v>75</v>
      </c>
      <c r="J84" s="3" t="n">
        <v>385</v>
      </c>
      <c r="K84" s="4" t="n">
        <v>3319.52</v>
      </c>
      <c r="L84" s="4" t="n">
        <f aca="false">J84*K84</f>
        <v>1278015.2</v>
      </c>
      <c r="M84" s="4" t="n">
        <f aca="false">L84*0.5153</f>
        <v>658561.23256</v>
      </c>
      <c r="N84" s="4" t="n">
        <f aca="false">L84-M84</f>
        <v>619453.96744</v>
      </c>
      <c r="O84" s="5" t="n">
        <f aca="false">IFERROR(N84/L84,0)</f>
        <v>0.4847</v>
      </c>
      <c r="P84" s="3" t="s">
        <v>35</v>
      </c>
      <c r="Q84" s="3" t="s">
        <v>30</v>
      </c>
      <c r="R84" s="4" t="n">
        <f aca="false">L84/(1+-0.0087)</f>
        <v>1289231.51417331</v>
      </c>
      <c r="S84" s="4" t="n">
        <f aca="false">L84</f>
        <v>1278015.2</v>
      </c>
      <c r="T84" s="5" t="n">
        <f aca="false">IFERROR(S84/R84,0)</f>
        <v>0.9913</v>
      </c>
      <c r="U84" s="5" t="n">
        <f aca="false">IFERROR((L84-V84)/V84,0)</f>
        <v>-0.0298</v>
      </c>
      <c r="V84" s="4" t="n">
        <f aca="false">L84/0.9702</f>
        <v>1317269.84126984</v>
      </c>
    </row>
    <row r="85" customFormat="false" ht="15" hidden="false" customHeight="false" outlineLevel="0" collapsed="false">
      <c r="A85" s="2" t="n">
        <v>45720</v>
      </c>
      <c r="B85" s="3" t="s">
        <v>59</v>
      </c>
      <c r="C85" s="3" t="s">
        <v>23</v>
      </c>
      <c r="D85" s="3" t="n">
        <v>2025</v>
      </c>
      <c r="E85" s="3" t="s">
        <v>31</v>
      </c>
      <c r="F85" s="3" t="s">
        <v>74</v>
      </c>
      <c r="G85" s="3" t="s">
        <v>33</v>
      </c>
      <c r="H85" s="3" t="s">
        <v>27</v>
      </c>
      <c r="I85" s="3" t="s">
        <v>34</v>
      </c>
      <c r="J85" s="3" t="n">
        <v>32</v>
      </c>
      <c r="K85" s="4" t="n">
        <v>1866.74</v>
      </c>
      <c r="L85" s="4" t="n">
        <f aca="false">J85*K85</f>
        <v>59735.68</v>
      </c>
      <c r="M85" s="4" t="n">
        <f aca="false">L85*0.5133</f>
        <v>30662.324544</v>
      </c>
      <c r="N85" s="4" t="n">
        <f aca="false">L85-M85</f>
        <v>29073.355456</v>
      </c>
      <c r="O85" s="5" t="n">
        <f aca="false">IFERROR(N85/L85,0)</f>
        <v>0.4867</v>
      </c>
      <c r="P85" s="3" t="s">
        <v>35</v>
      </c>
      <c r="Q85" s="3" t="s">
        <v>36</v>
      </c>
      <c r="R85" s="4" t="n">
        <f aca="false">L85/(1+0.1625)</f>
        <v>51385.5311827957</v>
      </c>
      <c r="S85" s="4" t="n">
        <f aca="false">L85</f>
        <v>59735.68</v>
      </c>
      <c r="T85" s="5" t="n">
        <f aca="false">IFERROR(S85/R85,0)</f>
        <v>1.1625</v>
      </c>
      <c r="U85" s="5" t="n">
        <f aca="false">IFERROR((L85-V85)/V85,0)</f>
        <v>-0.1747</v>
      </c>
      <c r="V85" s="4" t="n">
        <f aca="false">L85/0.8253</f>
        <v>72380.5646431601</v>
      </c>
    </row>
    <row r="86" customFormat="false" ht="15" hidden="false" customHeight="false" outlineLevel="0" collapsed="false">
      <c r="A86" s="2" t="n">
        <v>45727</v>
      </c>
      <c r="B86" s="3" t="s">
        <v>59</v>
      </c>
      <c r="C86" s="3" t="s">
        <v>23</v>
      </c>
      <c r="D86" s="3" t="n">
        <v>2025</v>
      </c>
      <c r="E86" s="3" t="s">
        <v>47</v>
      </c>
      <c r="F86" s="3" t="s">
        <v>50</v>
      </c>
      <c r="G86" s="3" t="s">
        <v>61</v>
      </c>
      <c r="H86" s="3" t="s">
        <v>43</v>
      </c>
      <c r="I86" s="3" t="s">
        <v>46</v>
      </c>
      <c r="J86" s="3" t="n">
        <v>360</v>
      </c>
      <c r="K86" s="4" t="n">
        <v>1036.08</v>
      </c>
      <c r="L86" s="4" t="n">
        <f aca="false">J86*K86</f>
        <v>372988.8</v>
      </c>
      <c r="M86" s="4" t="n">
        <f aca="false">L86*0.7242</f>
        <v>270118.48896</v>
      </c>
      <c r="N86" s="4" t="n">
        <f aca="false">L86-M86</f>
        <v>102870.31104</v>
      </c>
      <c r="O86" s="5" t="n">
        <f aca="false">IFERROR(N86/L86,0)</f>
        <v>0.2758</v>
      </c>
      <c r="P86" s="3" t="s">
        <v>35</v>
      </c>
      <c r="Q86" s="3" t="s">
        <v>30</v>
      </c>
      <c r="R86" s="4" t="n">
        <f aca="false">L86/(1+-0.0027)</f>
        <v>373998.596209766</v>
      </c>
      <c r="S86" s="4" t="n">
        <f aca="false">L86</f>
        <v>372988.8</v>
      </c>
      <c r="T86" s="5" t="n">
        <f aca="false">IFERROR(S86/R86,0)</f>
        <v>0.9973</v>
      </c>
      <c r="U86" s="5" t="n">
        <f aca="false">IFERROR((L86-V86)/V86,0)</f>
        <v>-0.00039999999999999</v>
      </c>
      <c r="V86" s="4" t="n">
        <f aca="false">L86/0.9996</f>
        <v>373138.055222089</v>
      </c>
    </row>
    <row r="87" customFormat="false" ht="15" hidden="false" customHeight="false" outlineLevel="0" collapsed="false">
      <c r="A87" s="2" t="n">
        <v>45728</v>
      </c>
      <c r="B87" s="3" t="s">
        <v>59</v>
      </c>
      <c r="C87" s="3" t="s">
        <v>23</v>
      </c>
      <c r="D87" s="3" t="n">
        <v>2025</v>
      </c>
      <c r="E87" s="3" t="s">
        <v>38</v>
      </c>
      <c r="F87" s="3" t="s">
        <v>45</v>
      </c>
      <c r="G87" s="3" t="s">
        <v>70</v>
      </c>
      <c r="H87" s="3" t="s">
        <v>27</v>
      </c>
      <c r="I87" s="3" t="s">
        <v>28</v>
      </c>
      <c r="J87" s="3" t="n">
        <v>454</v>
      </c>
      <c r="K87" s="4" t="n">
        <v>1342.17</v>
      </c>
      <c r="L87" s="4" t="n">
        <f aca="false">J87*K87</f>
        <v>609345.18</v>
      </c>
      <c r="M87" s="4" t="n">
        <f aca="false">L87*0.5907</f>
        <v>359940.197826</v>
      </c>
      <c r="N87" s="4" t="n">
        <f aca="false">L87-M87</f>
        <v>249404.982174</v>
      </c>
      <c r="O87" s="5" t="n">
        <f aca="false">IFERROR(N87/L87,0)</f>
        <v>0.4093</v>
      </c>
      <c r="P87" s="3" t="s">
        <v>35</v>
      </c>
      <c r="Q87" s="3" t="s">
        <v>36</v>
      </c>
      <c r="R87" s="4" t="n">
        <f aca="false">L87/(1+0.0642)</f>
        <v>572585.209547078</v>
      </c>
      <c r="S87" s="4" t="n">
        <f aca="false">L87</f>
        <v>609345.18</v>
      </c>
      <c r="T87" s="5" t="n">
        <f aca="false">IFERROR(S87/R87,0)</f>
        <v>1.0642</v>
      </c>
      <c r="U87" s="5" t="n">
        <f aca="false">IFERROR((L87-V87)/V87,0)</f>
        <v>-0.1122</v>
      </c>
      <c r="V87" s="4" t="n">
        <f aca="false">L87/0.8878</f>
        <v>686354.111286326</v>
      </c>
    </row>
    <row r="88" customFormat="false" ht="15" hidden="false" customHeight="false" outlineLevel="0" collapsed="false">
      <c r="A88" s="2" t="n">
        <v>45735</v>
      </c>
      <c r="B88" s="3" t="s">
        <v>59</v>
      </c>
      <c r="C88" s="3" t="s">
        <v>23</v>
      </c>
      <c r="D88" s="3" t="n">
        <v>2025</v>
      </c>
      <c r="E88" s="3" t="s">
        <v>24</v>
      </c>
      <c r="F88" s="3" t="s">
        <v>25</v>
      </c>
      <c r="G88" s="3" t="s">
        <v>33</v>
      </c>
      <c r="H88" s="3" t="s">
        <v>27</v>
      </c>
      <c r="I88" s="3" t="s">
        <v>34</v>
      </c>
      <c r="J88" s="3" t="n">
        <v>201</v>
      </c>
      <c r="K88" s="4" t="n">
        <v>3672.89</v>
      </c>
      <c r="L88" s="4" t="n">
        <f aca="false">J88*K88</f>
        <v>738250.89</v>
      </c>
      <c r="M88" s="4" t="n">
        <f aca="false">L88*0.6636</f>
        <v>489903.290604</v>
      </c>
      <c r="N88" s="4" t="n">
        <f aca="false">L88-M88</f>
        <v>248347.599396</v>
      </c>
      <c r="O88" s="5" t="n">
        <f aca="false">IFERROR(N88/L88,0)</f>
        <v>0.3364</v>
      </c>
      <c r="P88" s="3" t="s">
        <v>29</v>
      </c>
      <c r="Q88" s="3" t="s">
        <v>30</v>
      </c>
      <c r="R88" s="4" t="n">
        <f aca="false">L88/(1+-0.0522)</f>
        <v>778909.991559401</v>
      </c>
      <c r="S88" s="4" t="n">
        <f aca="false">L88</f>
        <v>738250.89</v>
      </c>
      <c r="T88" s="5" t="n">
        <f aca="false">IFERROR(S88/R88,0)</f>
        <v>0.9478</v>
      </c>
      <c r="U88" s="5" t="n">
        <f aca="false">IFERROR((L88-V88)/V88,0)</f>
        <v>-0.1092</v>
      </c>
      <c r="V88" s="4" t="n">
        <f aca="false">L88/0.8908</f>
        <v>828750.437808711</v>
      </c>
    </row>
    <row r="89" customFormat="false" ht="15" hidden="false" customHeight="false" outlineLevel="0" collapsed="false">
      <c r="A89" s="2" t="n">
        <v>45744</v>
      </c>
      <c r="B89" s="3" t="s">
        <v>59</v>
      </c>
      <c r="C89" s="3" t="s">
        <v>23</v>
      </c>
      <c r="D89" s="3" t="n">
        <v>2025</v>
      </c>
      <c r="E89" s="3" t="s">
        <v>24</v>
      </c>
      <c r="F89" s="3" t="s">
        <v>69</v>
      </c>
      <c r="G89" s="3" t="s">
        <v>37</v>
      </c>
      <c r="H89" s="3" t="s">
        <v>71</v>
      </c>
      <c r="I89" s="3" t="s">
        <v>85</v>
      </c>
      <c r="J89" s="3" t="n">
        <v>281</v>
      </c>
      <c r="K89" s="4" t="n">
        <v>7850.9</v>
      </c>
      <c r="L89" s="4" t="n">
        <f aca="false">J89*K89</f>
        <v>2206102.9</v>
      </c>
      <c r="M89" s="4" t="n">
        <f aca="false">L89*0.6082</f>
        <v>1341751.78378</v>
      </c>
      <c r="N89" s="4" t="n">
        <f aca="false">L89-M89</f>
        <v>864351.11622</v>
      </c>
      <c r="O89" s="5" t="n">
        <f aca="false">IFERROR(N89/L89,0)</f>
        <v>0.3918</v>
      </c>
      <c r="P89" s="3" t="s">
        <v>35</v>
      </c>
      <c r="Q89" s="3" t="s">
        <v>36</v>
      </c>
      <c r="R89" s="4" t="n">
        <f aca="false">L89/(1+-0.0343)</f>
        <v>2284459.87366677</v>
      </c>
      <c r="S89" s="4" t="n">
        <f aca="false">L89</f>
        <v>2206102.9</v>
      </c>
      <c r="T89" s="5" t="n">
        <f aca="false">IFERROR(S89/R89,0)</f>
        <v>0.9657</v>
      </c>
      <c r="U89" s="5" t="n">
        <f aca="false">IFERROR((L89-V89)/V89,0)</f>
        <v>-0.193</v>
      </c>
      <c r="V89" s="4" t="n">
        <f aca="false">L89/0.807</f>
        <v>2733708.67410161</v>
      </c>
    </row>
    <row r="90" customFormat="false" ht="15" hidden="false" customHeight="false" outlineLevel="0" collapsed="false">
      <c r="A90" s="2" t="n">
        <v>45747</v>
      </c>
      <c r="B90" s="3" t="s">
        <v>59</v>
      </c>
      <c r="C90" s="3" t="s">
        <v>23</v>
      </c>
      <c r="D90" s="3" t="n">
        <v>2025</v>
      </c>
      <c r="E90" s="3" t="s">
        <v>38</v>
      </c>
      <c r="F90" s="3" t="s">
        <v>79</v>
      </c>
      <c r="G90" s="3" t="s">
        <v>49</v>
      </c>
      <c r="H90" s="3" t="s">
        <v>71</v>
      </c>
      <c r="I90" s="3" t="s">
        <v>72</v>
      </c>
      <c r="J90" s="3" t="n">
        <v>163</v>
      </c>
      <c r="K90" s="4" t="n">
        <v>4290.46</v>
      </c>
      <c r="L90" s="4" t="n">
        <f aca="false">J90*K90</f>
        <v>699344.98</v>
      </c>
      <c r="M90" s="4" t="n">
        <f aca="false">L90*0.7247</f>
        <v>506815.307006</v>
      </c>
      <c r="N90" s="4" t="n">
        <f aca="false">L90-M90</f>
        <v>192529.672994</v>
      </c>
      <c r="O90" s="5" t="n">
        <f aca="false">IFERROR(N90/L90,0)</f>
        <v>0.2753</v>
      </c>
      <c r="P90" s="3" t="s">
        <v>35</v>
      </c>
      <c r="Q90" s="3" t="s">
        <v>30</v>
      </c>
      <c r="R90" s="4" t="n">
        <f aca="false">L90/(1+0.1712)</f>
        <v>597118.323087432</v>
      </c>
      <c r="S90" s="4" t="n">
        <f aca="false">L90</f>
        <v>699344.98</v>
      </c>
      <c r="T90" s="5" t="n">
        <f aca="false">IFERROR(S90/R90,0)</f>
        <v>1.1712</v>
      </c>
      <c r="U90" s="5" t="n">
        <f aca="false">IFERROR((L90-V90)/V90,0)</f>
        <v>0.0778000000000001</v>
      </c>
      <c r="V90" s="4" t="n">
        <f aca="false">L90/1.0778</f>
        <v>648863.406940063</v>
      </c>
    </row>
    <row r="91" customFormat="false" ht="15" hidden="false" customHeight="false" outlineLevel="0" collapsed="false">
      <c r="A91" s="2" t="n">
        <v>45752</v>
      </c>
      <c r="B91" s="3" t="s">
        <v>62</v>
      </c>
      <c r="C91" s="3" t="s">
        <v>63</v>
      </c>
      <c r="D91" s="3" t="n">
        <v>2025</v>
      </c>
      <c r="E91" s="3" t="s">
        <v>38</v>
      </c>
      <c r="F91" s="3" t="s">
        <v>45</v>
      </c>
      <c r="G91" s="3" t="s">
        <v>49</v>
      </c>
      <c r="H91" s="3" t="s">
        <v>43</v>
      </c>
      <c r="I91" s="3" t="s">
        <v>46</v>
      </c>
      <c r="J91" s="3" t="n">
        <v>434</v>
      </c>
      <c r="K91" s="4" t="n">
        <v>1287.43</v>
      </c>
      <c r="L91" s="4" t="n">
        <f aca="false">J91*K91</f>
        <v>558744.62</v>
      </c>
      <c r="M91" s="4" t="n">
        <f aca="false">L91*0.5251</f>
        <v>293396.799962</v>
      </c>
      <c r="N91" s="4" t="n">
        <f aca="false">L91-M91</f>
        <v>265347.820038</v>
      </c>
      <c r="O91" s="5" t="n">
        <f aca="false">IFERROR(N91/L91,0)</f>
        <v>0.4749</v>
      </c>
      <c r="P91" s="3" t="s">
        <v>35</v>
      </c>
      <c r="Q91" s="3" t="s">
        <v>36</v>
      </c>
      <c r="R91" s="4" t="n">
        <f aca="false">L91/(1+-0.1451)</f>
        <v>653578.921511288</v>
      </c>
      <c r="S91" s="4" t="n">
        <f aca="false">L91</f>
        <v>558744.62</v>
      </c>
      <c r="T91" s="5" t="n">
        <f aca="false">IFERROR(S91/R91,0)</f>
        <v>0.8549</v>
      </c>
      <c r="U91" s="5" t="n">
        <f aca="false">IFERROR((L91-V91)/V91,0)</f>
        <v>0.0405999999999999</v>
      </c>
      <c r="V91" s="4" t="n">
        <f aca="false">L91/1.0406</f>
        <v>536944.666538536</v>
      </c>
    </row>
    <row r="92" customFormat="false" ht="15" hidden="false" customHeight="false" outlineLevel="0" collapsed="false">
      <c r="A92" s="2" t="n">
        <v>45762</v>
      </c>
      <c r="B92" s="3" t="s">
        <v>62</v>
      </c>
      <c r="C92" s="3" t="s">
        <v>63</v>
      </c>
      <c r="D92" s="3" t="n">
        <v>2025</v>
      </c>
      <c r="E92" s="3" t="s">
        <v>38</v>
      </c>
      <c r="F92" s="3" t="s">
        <v>39</v>
      </c>
      <c r="G92" s="3" t="s">
        <v>56</v>
      </c>
      <c r="H92" s="3" t="s">
        <v>27</v>
      </c>
      <c r="I92" s="3" t="s">
        <v>34</v>
      </c>
      <c r="J92" s="3" t="n">
        <v>108</v>
      </c>
      <c r="K92" s="4" t="n">
        <v>2863.23</v>
      </c>
      <c r="L92" s="4" t="n">
        <f aca="false">J92*K92</f>
        <v>309228.84</v>
      </c>
      <c r="M92" s="4" t="n">
        <f aca="false">L92*0.7413</f>
        <v>229231.339092</v>
      </c>
      <c r="N92" s="4" t="n">
        <f aca="false">L92-M92</f>
        <v>79997.500908</v>
      </c>
      <c r="O92" s="5" t="n">
        <f aca="false">IFERROR(N92/L92,0)</f>
        <v>0.2587</v>
      </c>
      <c r="P92" s="3" t="s">
        <v>29</v>
      </c>
      <c r="Q92" s="3" t="s">
        <v>30</v>
      </c>
      <c r="R92" s="4" t="n">
        <f aca="false">L92/(1+-0.1095)</f>
        <v>347253.048848961</v>
      </c>
      <c r="S92" s="4" t="n">
        <f aca="false">L92</f>
        <v>309228.84</v>
      </c>
      <c r="T92" s="5" t="n">
        <f aca="false">IFERROR(S92/R92,0)</f>
        <v>0.8905</v>
      </c>
      <c r="U92" s="5" t="n">
        <f aca="false">IFERROR((L92-V92)/V92,0)</f>
        <v>0.2264</v>
      </c>
      <c r="V92" s="4" t="n">
        <f aca="false">L92/1.2264</f>
        <v>252143.542074364</v>
      </c>
    </row>
    <row r="93" customFormat="false" ht="15" hidden="false" customHeight="false" outlineLevel="0" collapsed="false">
      <c r="A93" s="2" t="n">
        <v>45764</v>
      </c>
      <c r="B93" s="3" t="s">
        <v>62</v>
      </c>
      <c r="C93" s="3" t="s">
        <v>63</v>
      </c>
      <c r="D93" s="3" t="n">
        <v>2025</v>
      </c>
      <c r="E93" s="3" t="s">
        <v>53</v>
      </c>
      <c r="F93" s="3" t="s">
        <v>54</v>
      </c>
      <c r="G93" s="3" t="s">
        <v>49</v>
      </c>
      <c r="H93" s="3" t="s">
        <v>65</v>
      </c>
      <c r="I93" s="3" t="s">
        <v>68</v>
      </c>
      <c r="J93" s="3" t="n">
        <v>461</v>
      </c>
      <c r="K93" s="4" t="n">
        <v>2131.39</v>
      </c>
      <c r="L93" s="4" t="n">
        <f aca="false">J93*K93</f>
        <v>982570.79</v>
      </c>
      <c r="M93" s="4" t="n">
        <f aca="false">L93*0.6332</f>
        <v>622163.824228</v>
      </c>
      <c r="N93" s="4" t="n">
        <f aca="false">L93-M93</f>
        <v>360406.965772</v>
      </c>
      <c r="O93" s="5" t="n">
        <f aca="false">IFERROR(N93/L93,0)</f>
        <v>0.3668</v>
      </c>
      <c r="P93" s="3" t="s">
        <v>29</v>
      </c>
      <c r="Q93" s="3" t="s">
        <v>36</v>
      </c>
      <c r="R93" s="4" t="n">
        <f aca="false">L93/(1+-0.1679)</f>
        <v>1180832.58021872</v>
      </c>
      <c r="S93" s="4" t="n">
        <f aca="false">L93</f>
        <v>982570.79</v>
      </c>
      <c r="T93" s="5" t="n">
        <f aca="false">IFERROR(S93/R93,0)</f>
        <v>0.8321</v>
      </c>
      <c r="U93" s="5" t="n">
        <f aca="false">IFERROR((L93-V93)/V93,0)</f>
        <v>-0.0197</v>
      </c>
      <c r="V93" s="4" t="n">
        <f aca="false">L93/0.9803</f>
        <v>1002316.42354381</v>
      </c>
    </row>
    <row r="94" customFormat="false" ht="15" hidden="false" customHeight="false" outlineLevel="0" collapsed="false">
      <c r="A94" s="2" t="n">
        <v>45765</v>
      </c>
      <c r="B94" s="3" t="s">
        <v>62</v>
      </c>
      <c r="C94" s="3" t="s">
        <v>63</v>
      </c>
      <c r="D94" s="3" t="n">
        <v>2025</v>
      </c>
      <c r="E94" s="3" t="s">
        <v>47</v>
      </c>
      <c r="F94" s="3" t="s">
        <v>48</v>
      </c>
      <c r="G94" s="3" t="s">
        <v>61</v>
      </c>
      <c r="H94" s="3" t="s">
        <v>27</v>
      </c>
      <c r="I94" s="3" t="s">
        <v>34</v>
      </c>
      <c r="J94" s="3" t="n">
        <v>149</v>
      </c>
      <c r="K94" s="4" t="n">
        <v>7703.48</v>
      </c>
      <c r="L94" s="4" t="n">
        <f aca="false">J94*K94</f>
        <v>1147818.52</v>
      </c>
      <c r="M94" s="4" t="n">
        <f aca="false">L94*0.6757</f>
        <v>775580.973964</v>
      </c>
      <c r="N94" s="4" t="n">
        <f aca="false">L94-M94</f>
        <v>372237.546036</v>
      </c>
      <c r="O94" s="5" t="n">
        <f aca="false">IFERROR(N94/L94,0)</f>
        <v>0.3243</v>
      </c>
      <c r="P94" s="3" t="s">
        <v>35</v>
      </c>
      <c r="Q94" s="3" t="s">
        <v>36</v>
      </c>
      <c r="R94" s="4" t="n">
        <f aca="false">L94/(1+0.0247)</f>
        <v>1120150.79535474</v>
      </c>
      <c r="S94" s="4" t="n">
        <f aca="false">L94</f>
        <v>1147818.52</v>
      </c>
      <c r="T94" s="5" t="n">
        <f aca="false">IFERROR(S94/R94,0)</f>
        <v>1.0247</v>
      </c>
      <c r="U94" s="5" t="n">
        <f aca="false">IFERROR((L94-V94)/V94,0)</f>
        <v>-0.0189</v>
      </c>
      <c r="V94" s="4" t="n">
        <f aca="false">L94/0.9811</f>
        <v>1169930.20079503</v>
      </c>
    </row>
    <row r="95" customFormat="false" ht="15" hidden="false" customHeight="false" outlineLevel="0" collapsed="false">
      <c r="A95" s="2" t="n">
        <v>45766</v>
      </c>
      <c r="B95" s="3" t="s">
        <v>62</v>
      </c>
      <c r="C95" s="3" t="s">
        <v>63</v>
      </c>
      <c r="D95" s="3" t="n">
        <v>2025</v>
      </c>
      <c r="E95" s="3" t="s">
        <v>24</v>
      </c>
      <c r="F95" s="3" t="s">
        <v>25</v>
      </c>
      <c r="G95" s="3" t="s">
        <v>61</v>
      </c>
      <c r="H95" s="3" t="s">
        <v>65</v>
      </c>
      <c r="I95" s="3" t="s">
        <v>84</v>
      </c>
      <c r="J95" s="3" t="n">
        <v>17</v>
      </c>
      <c r="K95" s="4" t="n">
        <v>905.6</v>
      </c>
      <c r="L95" s="4" t="n">
        <f aca="false">J95*K95</f>
        <v>15395.2</v>
      </c>
      <c r="M95" s="4" t="n">
        <f aca="false">L95*0.5843</f>
        <v>8995.41536</v>
      </c>
      <c r="N95" s="4" t="n">
        <f aca="false">L95-M95</f>
        <v>6399.78464</v>
      </c>
      <c r="O95" s="5" t="n">
        <f aca="false">IFERROR(N95/L95,0)</f>
        <v>0.4157</v>
      </c>
      <c r="P95" s="3" t="s">
        <v>35</v>
      </c>
      <c r="Q95" s="3" t="s">
        <v>30</v>
      </c>
      <c r="R95" s="4" t="n">
        <f aca="false">L95/(1+-0.105)</f>
        <v>17201.3407821229</v>
      </c>
      <c r="S95" s="4" t="n">
        <f aca="false">L95</f>
        <v>15395.2</v>
      </c>
      <c r="T95" s="5" t="n">
        <f aca="false">IFERROR(S95/R95,0)</f>
        <v>0.895</v>
      </c>
      <c r="U95" s="5" t="n">
        <f aca="false">IFERROR((L95-V95)/V95,0)</f>
        <v>0.1071</v>
      </c>
      <c r="V95" s="4" t="n">
        <f aca="false">L95/1.1071</f>
        <v>13905.8802276217</v>
      </c>
    </row>
    <row r="96" customFormat="false" ht="15" hidden="false" customHeight="false" outlineLevel="0" collapsed="false">
      <c r="A96" s="2" t="n">
        <v>45768</v>
      </c>
      <c r="B96" s="3" t="s">
        <v>62</v>
      </c>
      <c r="C96" s="3" t="s">
        <v>63</v>
      </c>
      <c r="D96" s="3" t="n">
        <v>2025</v>
      </c>
      <c r="E96" s="3" t="s">
        <v>31</v>
      </c>
      <c r="F96" s="3" t="s">
        <v>32</v>
      </c>
      <c r="G96" s="3" t="s">
        <v>49</v>
      </c>
      <c r="H96" s="3" t="s">
        <v>65</v>
      </c>
      <c r="I96" s="3" t="s">
        <v>84</v>
      </c>
      <c r="J96" s="3" t="n">
        <v>115</v>
      </c>
      <c r="K96" s="4" t="n">
        <v>1933.99</v>
      </c>
      <c r="L96" s="4" t="n">
        <f aca="false">J96*K96</f>
        <v>222408.85</v>
      </c>
      <c r="M96" s="4" t="n">
        <f aca="false">L96*0.5526</f>
        <v>122903.13051</v>
      </c>
      <c r="N96" s="4" t="n">
        <f aca="false">L96-M96</f>
        <v>99505.71949</v>
      </c>
      <c r="O96" s="5" t="n">
        <f aca="false">IFERROR(N96/L96,0)</f>
        <v>0.4474</v>
      </c>
      <c r="P96" s="3" t="s">
        <v>29</v>
      </c>
      <c r="Q96" s="3" t="s">
        <v>30</v>
      </c>
      <c r="R96" s="4" t="n">
        <f aca="false">L96/(1+-0.1214)</f>
        <v>253140.052356021</v>
      </c>
      <c r="S96" s="4" t="n">
        <f aca="false">L96</f>
        <v>222408.85</v>
      </c>
      <c r="T96" s="5" t="n">
        <f aca="false">IFERROR(S96/R96,0)</f>
        <v>0.8786</v>
      </c>
      <c r="U96" s="5" t="n">
        <f aca="false">IFERROR((L96-V96)/V96,0)</f>
        <v>0.0146999999999999</v>
      </c>
      <c r="V96" s="4" t="n">
        <f aca="false">L96/1.0147</f>
        <v>219186.803981472</v>
      </c>
    </row>
    <row r="97" customFormat="false" ht="15" hidden="false" customHeight="false" outlineLevel="0" collapsed="false">
      <c r="A97" s="2" t="n">
        <v>45784</v>
      </c>
      <c r="B97" s="3" t="s">
        <v>67</v>
      </c>
      <c r="C97" s="3" t="s">
        <v>63</v>
      </c>
      <c r="D97" s="3" t="n">
        <v>2025</v>
      </c>
      <c r="E97" s="3" t="s">
        <v>38</v>
      </c>
      <c r="F97" s="3" t="s">
        <v>39</v>
      </c>
      <c r="G97" s="3" t="s">
        <v>37</v>
      </c>
      <c r="H97" s="3" t="s">
        <v>40</v>
      </c>
      <c r="I97" s="3" t="s">
        <v>41</v>
      </c>
      <c r="J97" s="3" t="n">
        <v>273</v>
      </c>
      <c r="K97" s="4" t="n">
        <v>7172.28</v>
      </c>
      <c r="L97" s="4" t="n">
        <f aca="false">J97*K97</f>
        <v>1958032.44</v>
      </c>
      <c r="M97" s="4" t="n">
        <f aca="false">L97*0.6236</f>
        <v>1221029.029584</v>
      </c>
      <c r="N97" s="4" t="n">
        <f aca="false">L97-M97</f>
        <v>737003.410416</v>
      </c>
      <c r="O97" s="5" t="n">
        <f aca="false">IFERROR(N97/L97,0)</f>
        <v>0.3764</v>
      </c>
      <c r="P97" s="3" t="s">
        <v>35</v>
      </c>
      <c r="Q97" s="3" t="s">
        <v>30</v>
      </c>
      <c r="R97" s="4" t="n">
        <f aca="false">L97/(1+-0.0952)</f>
        <v>2164050</v>
      </c>
      <c r="S97" s="4" t="n">
        <f aca="false">L97</f>
        <v>1958032.44</v>
      </c>
      <c r="T97" s="5" t="n">
        <f aca="false">IFERROR(S97/R97,0)</f>
        <v>0.9048</v>
      </c>
      <c r="U97" s="5" t="n">
        <f aca="false">IFERROR((L97-V97)/V97,0)</f>
        <v>0.0225</v>
      </c>
      <c r="V97" s="4" t="n">
        <f aca="false">L97/1.0225</f>
        <v>1914946.15158924</v>
      </c>
    </row>
    <row r="98" customFormat="false" ht="15" hidden="false" customHeight="false" outlineLevel="0" collapsed="false">
      <c r="A98" s="2" t="n">
        <v>45791</v>
      </c>
      <c r="B98" s="3" t="s">
        <v>67</v>
      </c>
      <c r="C98" s="3" t="s">
        <v>63</v>
      </c>
      <c r="D98" s="3" t="n">
        <v>2025</v>
      </c>
      <c r="E98" s="3" t="s">
        <v>53</v>
      </c>
      <c r="F98" s="3" t="s">
        <v>54</v>
      </c>
      <c r="G98" s="3" t="s">
        <v>61</v>
      </c>
      <c r="H98" s="3" t="s">
        <v>43</v>
      </c>
      <c r="I98" s="3" t="s">
        <v>46</v>
      </c>
      <c r="J98" s="3" t="n">
        <v>60</v>
      </c>
      <c r="K98" s="4" t="n">
        <v>2790.93</v>
      </c>
      <c r="L98" s="4" t="n">
        <f aca="false">J98*K98</f>
        <v>167455.8</v>
      </c>
      <c r="M98" s="4" t="n">
        <f aca="false">L98*0.7481</f>
        <v>125273.68398</v>
      </c>
      <c r="N98" s="4" t="n">
        <f aca="false">L98-M98</f>
        <v>42182.11602</v>
      </c>
      <c r="O98" s="5" t="n">
        <f aca="false">IFERROR(N98/L98,0)</f>
        <v>0.2519</v>
      </c>
      <c r="P98" s="3" t="s">
        <v>35</v>
      </c>
      <c r="Q98" s="3" t="s">
        <v>30</v>
      </c>
      <c r="R98" s="4" t="n">
        <f aca="false">L98/(1+0.1361)</f>
        <v>147395.299709533</v>
      </c>
      <c r="S98" s="4" t="n">
        <f aca="false">L98</f>
        <v>167455.8</v>
      </c>
      <c r="T98" s="5" t="n">
        <f aca="false">IFERROR(S98/R98,0)</f>
        <v>1.1361</v>
      </c>
      <c r="U98" s="5" t="n">
        <f aca="false">IFERROR((L98-V98)/V98,0)</f>
        <v>0.2232</v>
      </c>
      <c r="V98" s="4" t="n">
        <f aca="false">L98/1.2232</f>
        <v>136899.771092217</v>
      </c>
    </row>
    <row r="99" customFormat="false" ht="15" hidden="false" customHeight="false" outlineLevel="0" collapsed="false">
      <c r="A99" s="2" t="n">
        <v>45795</v>
      </c>
      <c r="B99" s="3" t="s">
        <v>67</v>
      </c>
      <c r="C99" s="3" t="s">
        <v>63</v>
      </c>
      <c r="D99" s="3" t="n">
        <v>2025</v>
      </c>
      <c r="E99" s="3" t="s">
        <v>24</v>
      </c>
      <c r="F99" s="3" t="s">
        <v>69</v>
      </c>
      <c r="G99" s="3" t="s">
        <v>26</v>
      </c>
      <c r="H99" s="3" t="s">
        <v>71</v>
      </c>
      <c r="I99" s="3" t="s">
        <v>72</v>
      </c>
      <c r="J99" s="3" t="n">
        <v>164</v>
      </c>
      <c r="K99" s="4" t="n">
        <v>4619.13</v>
      </c>
      <c r="L99" s="4" t="n">
        <f aca="false">J99*K99</f>
        <v>757537.32</v>
      </c>
      <c r="M99" s="4" t="n">
        <f aca="false">L99*0.6229</f>
        <v>471869.996628</v>
      </c>
      <c r="N99" s="4" t="n">
        <f aca="false">L99-M99</f>
        <v>285667.323372</v>
      </c>
      <c r="O99" s="5" t="n">
        <f aca="false">IFERROR(N99/L99,0)</f>
        <v>0.3771</v>
      </c>
      <c r="P99" s="3" t="s">
        <v>29</v>
      </c>
      <c r="Q99" s="3" t="s">
        <v>30</v>
      </c>
      <c r="R99" s="4" t="n">
        <f aca="false">L99/(1+0.1776)</f>
        <v>643289.164402174</v>
      </c>
      <c r="S99" s="4" t="n">
        <f aca="false">L99</f>
        <v>757537.32</v>
      </c>
      <c r="T99" s="5" t="n">
        <f aca="false">IFERROR(S99/R99,0)</f>
        <v>1.1776</v>
      </c>
      <c r="U99" s="5" t="n">
        <f aca="false">IFERROR((L99-V99)/V99,0)</f>
        <v>-0.1425</v>
      </c>
      <c r="V99" s="4" t="n">
        <f aca="false">L99/0.8575</f>
        <v>883425.44606414</v>
      </c>
    </row>
    <row r="100" customFormat="false" ht="15" hidden="false" customHeight="false" outlineLevel="0" collapsed="false">
      <c r="A100" s="2" t="n">
        <v>45797</v>
      </c>
      <c r="B100" s="3" t="s">
        <v>67</v>
      </c>
      <c r="C100" s="3" t="s">
        <v>63</v>
      </c>
      <c r="D100" s="3" t="n">
        <v>2025</v>
      </c>
      <c r="E100" s="3" t="s">
        <v>47</v>
      </c>
      <c r="F100" s="3" t="s">
        <v>89</v>
      </c>
      <c r="G100" s="3" t="s">
        <v>61</v>
      </c>
      <c r="H100" s="3" t="s">
        <v>40</v>
      </c>
      <c r="I100" s="3" t="s">
        <v>57</v>
      </c>
      <c r="J100" s="3" t="n">
        <v>449</v>
      </c>
      <c r="K100" s="4" t="n">
        <v>2525.53</v>
      </c>
      <c r="L100" s="4" t="n">
        <f aca="false">J100*K100</f>
        <v>1133962.97</v>
      </c>
      <c r="M100" s="4" t="n">
        <f aca="false">L100*0.5412</f>
        <v>613700.759364</v>
      </c>
      <c r="N100" s="4" t="n">
        <f aca="false">L100-M100</f>
        <v>520262.210636</v>
      </c>
      <c r="O100" s="5" t="n">
        <f aca="false">IFERROR(N100/L100,0)</f>
        <v>0.4588</v>
      </c>
      <c r="P100" s="3" t="s">
        <v>29</v>
      </c>
      <c r="Q100" s="3" t="s">
        <v>30</v>
      </c>
      <c r="R100" s="4" t="n">
        <f aca="false">L100/(1+0.1039)</f>
        <v>1027233.41788205</v>
      </c>
      <c r="S100" s="4" t="n">
        <f aca="false">L100</f>
        <v>1133962.97</v>
      </c>
      <c r="T100" s="5" t="n">
        <f aca="false">IFERROR(S100/R100,0)</f>
        <v>1.1039</v>
      </c>
      <c r="U100" s="5" t="n">
        <f aca="false">IFERROR((L100-V100)/V100,0)</f>
        <v>-0.1941</v>
      </c>
      <c r="V100" s="4" t="n">
        <f aca="false">L100/0.8059</f>
        <v>1407076.52314183</v>
      </c>
    </row>
    <row r="101" customFormat="false" ht="15" hidden="false" customHeight="false" outlineLevel="0" collapsed="false">
      <c r="A101" s="2" t="n">
        <v>45803</v>
      </c>
      <c r="B101" s="3" t="s">
        <v>67</v>
      </c>
      <c r="C101" s="3" t="s">
        <v>63</v>
      </c>
      <c r="D101" s="3" t="n">
        <v>2025</v>
      </c>
      <c r="E101" s="3" t="s">
        <v>38</v>
      </c>
      <c r="F101" s="3" t="s">
        <v>45</v>
      </c>
      <c r="G101" s="3" t="s">
        <v>70</v>
      </c>
      <c r="H101" s="3" t="s">
        <v>65</v>
      </c>
      <c r="I101" s="3" t="s">
        <v>68</v>
      </c>
      <c r="J101" s="3" t="n">
        <v>446</v>
      </c>
      <c r="K101" s="4" t="n">
        <v>2536.94</v>
      </c>
      <c r="L101" s="4" t="n">
        <f aca="false">J101*K101</f>
        <v>1131475.24</v>
      </c>
      <c r="M101" s="4" t="n">
        <f aca="false">L101*0.5822</f>
        <v>658744.884728</v>
      </c>
      <c r="N101" s="4" t="n">
        <f aca="false">L101-M101</f>
        <v>472730.355272</v>
      </c>
      <c r="O101" s="5" t="n">
        <f aca="false">IFERROR(N101/L101,0)</f>
        <v>0.4178</v>
      </c>
      <c r="P101" s="3" t="s">
        <v>29</v>
      </c>
      <c r="Q101" s="3" t="s">
        <v>30</v>
      </c>
      <c r="R101" s="4" t="n">
        <f aca="false">L101/(1+-0.1608)</f>
        <v>1348278.40800763</v>
      </c>
      <c r="S101" s="4" t="n">
        <f aca="false">L101</f>
        <v>1131475.24</v>
      </c>
      <c r="T101" s="5" t="n">
        <f aca="false">IFERROR(S101/R101,0)</f>
        <v>0.8392</v>
      </c>
      <c r="U101" s="5" t="n">
        <f aca="false">IFERROR((L101-V101)/V101,0)</f>
        <v>-0.00659999999999995</v>
      </c>
      <c r="V101" s="4" t="n">
        <f aca="false">L101/0.9934</f>
        <v>1138992.59110127</v>
      </c>
    </row>
    <row r="102" customFormat="false" ht="15" hidden="false" customHeight="false" outlineLevel="0" collapsed="false">
      <c r="A102" s="2" t="n">
        <v>45805</v>
      </c>
      <c r="B102" s="3" t="s">
        <v>67</v>
      </c>
      <c r="C102" s="3" t="s">
        <v>63</v>
      </c>
      <c r="D102" s="3" t="n">
        <v>2025</v>
      </c>
      <c r="E102" s="3" t="s">
        <v>38</v>
      </c>
      <c r="F102" s="3" t="s">
        <v>39</v>
      </c>
      <c r="G102" s="3" t="s">
        <v>49</v>
      </c>
      <c r="H102" s="3" t="s">
        <v>40</v>
      </c>
      <c r="I102" s="3" t="s">
        <v>41</v>
      </c>
      <c r="J102" s="3" t="n">
        <v>225</v>
      </c>
      <c r="K102" s="4" t="n">
        <v>2738.05</v>
      </c>
      <c r="L102" s="4" t="n">
        <f aca="false">J102*K102</f>
        <v>616061.25</v>
      </c>
      <c r="M102" s="4" t="n">
        <f aca="false">L102*0.6368</f>
        <v>392307.804</v>
      </c>
      <c r="N102" s="4" t="n">
        <f aca="false">L102-M102</f>
        <v>223753.446</v>
      </c>
      <c r="O102" s="5" t="n">
        <f aca="false">IFERROR(N102/L102,0)</f>
        <v>0.3632</v>
      </c>
      <c r="P102" s="3" t="s">
        <v>35</v>
      </c>
      <c r="Q102" s="3" t="s">
        <v>30</v>
      </c>
      <c r="R102" s="4" t="n">
        <f aca="false">L102/(1+0.1289)</f>
        <v>545718.176986447</v>
      </c>
      <c r="S102" s="4" t="n">
        <f aca="false">L102</f>
        <v>616061.25</v>
      </c>
      <c r="T102" s="5" t="n">
        <f aca="false">IFERROR(S102/R102,0)</f>
        <v>1.1289</v>
      </c>
      <c r="U102" s="5" t="n">
        <f aca="false">IFERROR((L102-V102)/V102,0)</f>
        <v>-0.0688</v>
      </c>
      <c r="V102" s="4" t="n">
        <f aca="false">L102/0.9312</f>
        <v>661577.802835052</v>
      </c>
    </row>
    <row r="103" customFormat="false" ht="15" hidden="false" customHeight="false" outlineLevel="0" collapsed="false">
      <c r="A103" s="2" t="n">
        <v>45812</v>
      </c>
      <c r="B103" s="3" t="s">
        <v>73</v>
      </c>
      <c r="C103" s="3" t="s">
        <v>63</v>
      </c>
      <c r="D103" s="3" t="n">
        <v>2025</v>
      </c>
      <c r="E103" s="3" t="s">
        <v>38</v>
      </c>
      <c r="F103" s="3" t="s">
        <v>79</v>
      </c>
      <c r="G103" s="3" t="s">
        <v>42</v>
      </c>
      <c r="H103" s="3" t="s">
        <v>43</v>
      </c>
      <c r="I103" s="3" t="s">
        <v>46</v>
      </c>
      <c r="J103" s="3" t="n">
        <v>410</v>
      </c>
      <c r="K103" s="4" t="n">
        <v>1552.28</v>
      </c>
      <c r="L103" s="4" t="n">
        <f aca="false">J103*K103</f>
        <v>636434.8</v>
      </c>
      <c r="M103" s="4" t="n">
        <f aca="false">L103*0.7141</f>
        <v>454478.09068</v>
      </c>
      <c r="N103" s="4" t="n">
        <f aca="false">L103-M103</f>
        <v>181956.70932</v>
      </c>
      <c r="O103" s="5" t="n">
        <f aca="false">IFERROR(N103/L103,0)</f>
        <v>0.2859</v>
      </c>
      <c r="P103" s="3" t="s">
        <v>35</v>
      </c>
      <c r="Q103" s="3" t="s">
        <v>30</v>
      </c>
      <c r="R103" s="4" t="n">
        <f aca="false">L103/(1+-0.0388)</f>
        <v>662125.260091552</v>
      </c>
      <c r="S103" s="4" t="n">
        <f aca="false">L103</f>
        <v>636434.8</v>
      </c>
      <c r="T103" s="5" t="n">
        <f aca="false">IFERROR(S103/R103,0)</f>
        <v>0.9612</v>
      </c>
      <c r="U103" s="5" t="n">
        <f aca="false">IFERROR((L103-V103)/V103,0)</f>
        <v>-0.107</v>
      </c>
      <c r="V103" s="4" t="n">
        <f aca="false">L103/0.893</f>
        <v>712692.945128779</v>
      </c>
    </row>
    <row r="104" customFormat="false" ht="15" hidden="false" customHeight="false" outlineLevel="0" collapsed="false">
      <c r="A104" s="2" t="n">
        <v>45814</v>
      </c>
      <c r="B104" s="3" t="s">
        <v>73</v>
      </c>
      <c r="C104" s="3" t="s">
        <v>63</v>
      </c>
      <c r="D104" s="3" t="n">
        <v>2025</v>
      </c>
      <c r="E104" s="3" t="s">
        <v>24</v>
      </c>
      <c r="F104" s="3" t="s">
        <v>69</v>
      </c>
      <c r="G104" s="3" t="s">
        <v>83</v>
      </c>
      <c r="H104" s="3" t="s">
        <v>27</v>
      </c>
      <c r="I104" s="3" t="s">
        <v>28</v>
      </c>
      <c r="J104" s="3" t="n">
        <v>217</v>
      </c>
      <c r="K104" s="4" t="n">
        <v>7705.82</v>
      </c>
      <c r="L104" s="4" t="n">
        <f aca="false">J104*K104</f>
        <v>1672162.94</v>
      </c>
      <c r="M104" s="4" t="n">
        <f aca="false">L104*0.6963</f>
        <v>1164327.055122</v>
      </c>
      <c r="N104" s="4" t="n">
        <f aca="false">L104-M104</f>
        <v>507835.884878</v>
      </c>
      <c r="O104" s="5" t="n">
        <f aca="false">IFERROR(N104/L104,0)</f>
        <v>0.3037</v>
      </c>
      <c r="P104" s="3" t="s">
        <v>35</v>
      </c>
      <c r="Q104" s="3" t="s">
        <v>30</v>
      </c>
      <c r="R104" s="4" t="n">
        <f aca="false">L104/(1+0.1863)</f>
        <v>1409561.61173396</v>
      </c>
      <c r="S104" s="4" t="n">
        <f aca="false">L104</f>
        <v>1672162.94</v>
      </c>
      <c r="T104" s="5" t="n">
        <f aca="false">IFERROR(S104/R104,0)</f>
        <v>1.1863</v>
      </c>
      <c r="U104" s="5" t="n">
        <f aca="false">IFERROR((L104-V104)/V104,0)</f>
        <v>0.1686</v>
      </c>
      <c r="V104" s="4" t="n">
        <f aca="false">L104/1.1686</f>
        <v>1430911.29556735</v>
      </c>
    </row>
    <row r="105" customFormat="false" ht="15" hidden="false" customHeight="false" outlineLevel="0" collapsed="false">
      <c r="A105" s="2" t="n">
        <v>45815</v>
      </c>
      <c r="B105" s="3" t="s">
        <v>73</v>
      </c>
      <c r="C105" s="3" t="s">
        <v>63</v>
      </c>
      <c r="D105" s="3" t="n">
        <v>2025</v>
      </c>
      <c r="E105" s="3" t="s">
        <v>38</v>
      </c>
      <c r="F105" s="3" t="s">
        <v>39</v>
      </c>
      <c r="G105" s="3" t="s">
        <v>64</v>
      </c>
      <c r="H105" s="3" t="s">
        <v>40</v>
      </c>
      <c r="I105" s="3" t="s">
        <v>41</v>
      </c>
      <c r="J105" s="3" t="n">
        <v>310</v>
      </c>
      <c r="K105" s="4" t="n">
        <v>410.69</v>
      </c>
      <c r="L105" s="4" t="n">
        <f aca="false">J105*K105</f>
        <v>127313.9</v>
      </c>
      <c r="M105" s="4" t="n">
        <f aca="false">L105*0.6375</f>
        <v>81162.61125</v>
      </c>
      <c r="N105" s="4" t="n">
        <f aca="false">L105-M105</f>
        <v>46151.28875</v>
      </c>
      <c r="O105" s="5" t="n">
        <f aca="false">IFERROR(N105/L105,0)</f>
        <v>0.3625</v>
      </c>
      <c r="P105" s="3" t="s">
        <v>29</v>
      </c>
      <c r="Q105" s="3" t="s">
        <v>30</v>
      </c>
      <c r="R105" s="4" t="n">
        <f aca="false">L105/(1+-0.0204)</f>
        <v>129965.189873418</v>
      </c>
      <c r="S105" s="4" t="n">
        <f aca="false">L105</f>
        <v>127313.9</v>
      </c>
      <c r="T105" s="5" t="n">
        <f aca="false">IFERROR(S105/R105,0)</f>
        <v>0.9796</v>
      </c>
      <c r="U105" s="5" t="n">
        <f aca="false">IFERROR((L105-V105)/V105,0)</f>
        <v>-0.0482000000000001</v>
      </c>
      <c r="V105" s="4" t="n">
        <f aca="false">L105/0.9518</f>
        <v>133761.189325489</v>
      </c>
    </row>
    <row r="106" customFormat="false" ht="15" hidden="false" customHeight="false" outlineLevel="0" collapsed="false">
      <c r="A106" s="2" t="n">
        <v>45817</v>
      </c>
      <c r="B106" s="3" t="s">
        <v>73</v>
      </c>
      <c r="C106" s="3" t="s">
        <v>63</v>
      </c>
      <c r="D106" s="3" t="n">
        <v>2025</v>
      </c>
      <c r="E106" s="3" t="s">
        <v>38</v>
      </c>
      <c r="F106" s="3" t="s">
        <v>39</v>
      </c>
      <c r="G106" s="3" t="s">
        <v>70</v>
      </c>
      <c r="H106" s="3" t="s">
        <v>71</v>
      </c>
      <c r="I106" s="3" t="s">
        <v>75</v>
      </c>
      <c r="J106" s="3" t="n">
        <v>342</v>
      </c>
      <c r="K106" s="4" t="n">
        <v>2643.44</v>
      </c>
      <c r="L106" s="4" t="n">
        <f aca="false">J106*K106</f>
        <v>904056.48</v>
      </c>
      <c r="M106" s="4" t="n">
        <f aca="false">L106*0.5986</f>
        <v>541168.208928</v>
      </c>
      <c r="N106" s="4" t="n">
        <f aca="false">L106-M106</f>
        <v>362888.271072</v>
      </c>
      <c r="O106" s="5" t="n">
        <f aca="false">IFERROR(N106/L106,0)</f>
        <v>0.4014</v>
      </c>
      <c r="P106" s="3" t="s">
        <v>29</v>
      </c>
      <c r="Q106" s="3" t="s">
        <v>36</v>
      </c>
      <c r="R106" s="4" t="n">
        <f aca="false">L106/(1+0.1517)</f>
        <v>784975.670747591</v>
      </c>
      <c r="S106" s="4" t="n">
        <f aca="false">L106</f>
        <v>904056.48</v>
      </c>
      <c r="T106" s="5" t="n">
        <f aca="false">IFERROR(S106/R106,0)</f>
        <v>1.1517</v>
      </c>
      <c r="U106" s="5" t="n">
        <f aca="false">IFERROR((L106-V106)/V106,0)</f>
        <v>-0.0177000000000001</v>
      </c>
      <c r="V106" s="4" t="n">
        <f aca="false">L106/0.9823</f>
        <v>920346.615087041</v>
      </c>
    </row>
    <row r="107" customFormat="false" ht="15" hidden="false" customHeight="false" outlineLevel="0" collapsed="false">
      <c r="A107" s="2" t="n">
        <v>45818</v>
      </c>
      <c r="B107" s="3" t="s">
        <v>73</v>
      </c>
      <c r="C107" s="3" t="s">
        <v>63</v>
      </c>
      <c r="D107" s="3" t="n">
        <v>2025</v>
      </c>
      <c r="E107" s="3" t="s">
        <v>24</v>
      </c>
      <c r="F107" s="3" t="s">
        <v>69</v>
      </c>
      <c r="G107" s="3" t="s">
        <v>70</v>
      </c>
      <c r="H107" s="3" t="s">
        <v>43</v>
      </c>
      <c r="I107" s="3" t="s">
        <v>46</v>
      </c>
      <c r="J107" s="3" t="n">
        <v>60</v>
      </c>
      <c r="K107" s="4" t="n">
        <v>7048.23</v>
      </c>
      <c r="L107" s="4" t="n">
        <f aca="false">J107*K107</f>
        <v>422893.8</v>
      </c>
      <c r="M107" s="4" t="n">
        <f aca="false">L107*0.5492</f>
        <v>232253.27496</v>
      </c>
      <c r="N107" s="4" t="n">
        <f aca="false">L107-M107</f>
        <v>190640.52504</v>
      </c>
      <c r="O107" s="5" t="n">
        <f aca="false">IFERROR(N107/L107,0)</f>
        <v>0.4508</v>
      </c>
      <c r="P107" s="3" t="s">
        <v>35</v>
      </c>
      <c r="Q107" s="3" t="s">
        <v>36</v>
      </c>
      <c r="R107" s="4" t="n">
        <f aca="false">L107/(1+0.1098)</f>
        <v>381054.063795278</v>
      </c>
      <c r="S107" s="4" t="n">
        <f aca="false">L107</f>
        <v>422893.8</v>
      </c>
      <c r="T107" s="5" t="n">
        <f aca="false">IFERROR(S107/R107,0)</f>
        <v>1.1098</v>
      </c>
      <c r="U107" s="5" t="n">
        <f aca="false">IFERROR((L107-V107)/V107,0)</f>
        <v>0.1226</v>
      </c>
      <c r="V107" s="4" t="n">
        <f aca="false">L107/1.1226</f>
        <v>376709.246392304</v>
      </c>
    </row>
    <row r="108" customFormat="false" ht="15" hidden="false" customHeight="false" outlineLevel="0" collapsed="false">
      <c r="A108" s="2" t="n">
        <v>45822</v>
      </c>
      <c r="B108" s="3" t="s">
        <v>73</v>
      </c>
      <c r="C108" s="3" t="s">
        <v>63</v>
      </c>
      <c r="D108" s="3" t="n">
        <v>2025</v>
      </c>
      <c r="E108" s="3" t="s">
        <v>31</v>
      </c>
      <c r="F108" s="3" t="s">
        <v>32</v>
      </c>
      <c r="G108" s="3" t="s">
        <v>83</v>
      </c>
      <c r="H108" s="3" t="s">
        <v>40</v>
      </c>
      <c r="I108" s="3" t="s">
        <v>57</v>
      </c>
      <c r="J108" s="3" t="n">
        <v>446</v>
      </c>
      <c r="K108" s="4" t="n">
        <v>1219.49</v>
      </c>
      <c r="L108" s="4" t="n">
        <f aca="false">J108*K108</f>
        <v>543892.54</v>
      </c>
      <c r="M108" s="4" t="n">
        <f aca="false">L108*0.5251</f>
        <v>285597.972754</v>
      </c>
      <c r="N108" s="4" t="n">
        <f aca="false">L108-M108</f>
        <v>258294.567246</v>
      </c>
      <c r="O108" s="5" t="n">
        <f aca="false">IFERROR(N108/L108,0)</f>
        <v>0.4749</v>
      </c>
      <c r="P108" s="3" t="s">
        <v>35</v>
      </c>
      <c r="Q108" s="3" t="s">
        <v>36</v>
      </c>
      <c r="R108" s="4" t="n">
        <f aca="false">L108/(1+-0.1566)</f>
        <v>644880.886886412</v>
      </c>
      <c r="S108" s="4" t="n">
        <f aca="false">L108</f>
        <v>543892.54</v>
      </c>
      <c r="T108" s="5" t="n">
        <f aca="false">IFERROR(S108/R108,0)</f>
        <v>0.8434</v>
      </c>
      <c r="U108" s="5" t="n">
        <f aca="false">IFERROR((L108-V108)/V108,0)</f>
        <v>-0.0121</v>
      </c>
      <c r="V108" s="4" t="n">
        <f aca="false">L108/0.9879</f>
        <v>550554.246381213</v>
      </c>
    </row>
    <row r="109" customFormat="false" ht="15" hidden="false" customHeight="false" outlineLevel="0" collapsed="false">
      <c r="A109" s="2" t="n">
        <v>45826</v>
      </c>
      <c r="B109" s="3" t="s">
        <v>73</v>
      </c>
      <c r="C109" s="3" t="s">
        <v>63</v>
      </c>
      <c r="D109" s="3" t="n">
        <v>2025</v>
      </c>
      <c r="E109" s="3" t="s">
        <v>24</v>
      </c>
      <c r="F109" s="3" t="s">
        <v>69</v>
      </c>
      <c r="G109" s="3" t="s">
        <v>26</v>
      </c>
      <c r="H109" s="3" t="s">
        <v>43</v>
      </c>
      <c r="I109" s="3" t="s">
        <v>46</v>
      </c>
      <c r="J109" s="3" t="n">
        <v>411</v>
      </c>
      <c r="K109" s="4" t="n">
        <v>7027.85</v>
      </c>
      <c r="L109" s="4" t="n">
        <f aca="false">J109*K109</f>
        <v>2888446.35</v>
      </c>
      <c r="M109" s="4" t="n">
        <f aca="false">L109*0.7482</f>
        <v>2161135.55907</v>
      </c>
      <c r="N109" s="4" t="n">
        <f aca="false">L109-M109</f>
        <v>727310.79093</v>
      </c>
      <c r="O109" s="5" t="n">
        <f aca="false">IFERROR(N109/L109,0)</f>
        <v>0.2518</v>
      </c>
      <c r="P109" s="3" t="s">
        <v>35</v>
      </c>
      <c r="Q109" s="3" t="s">
        <v>30</v>
      </c>
      <c r="R109" s="4" t="n">
        <f aca="false">L109/(1+-0.1986)</f>
        <v>3604250.49912653</v>
      </c>
      <c r="S109" s="4" t="n">
        <f aca="false">L109</f>
        <v>2888446.35</v>
      </c>
      <c r="T109" s="5" t="n">
        <f aca="false">IFERROR(S109/R109,0)</f>
        <v>0.8014</v>
      </c>
      <c r="U109" s="5" t="n">
        <f aca="false">IFERROR((L109-V109)/V109,0)</f>
        <v>-0.1517</v>
      </c>
      <c r="V109" s="4" t="n">
        <f aca="false">L109/0.8483</f>
        <v>3404982.14075209</v>
      </c>
    </row>
    <row r="110" customFormat="false" ht="15" hidden="false" customHeight="false" outlineLevel="0" collapsed="false">
      <c r="A110" s="2" t="n">
        <v>45828</v>
      </c>
      <c r="B110" s="3" t="s">
        <v>73</v>
      </c>
      <c r="C110" s="3" t="s">
        <v>63</v>
      </c>
      <c r="D110" s="3" t="n">
        <v>2025</v>
      </c>
      <c r="E110" s="3" t="s">
        <v>38</v>
      </c>
      <c r="F110" s="3" t="s">
        <v>79</v>
      </c>
      <c r="G110" s="3" t="s">
        <v>42</v>
      </c>
      <c r="H110" s="3" t="s">
        <v>43</v>
      </c>
      <c r="I110" s="3" t="s">
        <v>46</v>
      </c>
      <c r="J110" s="3" t="n">
        <v>56</v>
      </c>
      <c r="K110" s="4" t="n">
        <v>4735.02</v>
      </c>
      <c r="L110" s="4" t="n">
        <f aca="false">J110*K110</f>
        <v>265161.12</v>
      </c>
      <c r="M110" s="4" t="n">
        <f aca="false">L110*0.6751</f>
        <v>179010.272112</v>
      </c>
      <c r="N110" s="4" t="n">
        <f aca="false">L110-M110</f>
        <v>86150.847888</v>
      </c>
      <c r="O110" s="5" t="n">
        <f aca="false">IFERROR(N110/L110,0)</f>
        <v>0.3249</v>
      </c>
      <c r="P110" s="3" t="s">
        <v>35</v>
      </c>
      <c r="Q110" s="3" t="s">
        <v>36</v>
      </c>
      <c r="R110" s="4" t="n">
        <f aca="false">L110/(1+-0.1566)</f>
        <v>314395.447000237</v>
      </c>
      <c r="S110" s="4" t="n">
        <f aca="false">L110</f>
        <v>265161.12</v>
      </c>
      <c r="T110" s="5" t="n">
        <f aca="false">IFERROR(S110/R110,0)</f>
        <v>0.8434</v>
      </c>
      <c r="U110" s="5" t="n">
        <f aca="false">IFERROR((L110-V110)/V110,0)</f>
        <v>-0.0777</v>
      </c>
      <c r="V110" s="4" t="n">
        <f aca="false">L110/0.9223</f>
        <v>287499.859048032</v>
      </c>
    </row>
    <row r="111" customFormat="false" ht="15" hidden="false" customHeight="false" outlineLevel="0" collapsed="false">
      <c r="A111" s="2" t="n">
        <v>45831</v>
      </c>
      <c r="B111" s="3" t="s">
        <v>73</v>
      </c>
      <c r="C111" s="3" t="s">
        <v>63</v>
      </c>
      <c r="D111" s="3" t="n">
        <v>2025</v>
      </c>
      <c r="E111" s="3" t="s">
        <v>24</v>
      </c>
      <c r="F111" s="3" t="s">
        <v>25</v>
      </c>
      <c r="G111" s="3" t="s">
        <v>33</v>
      </c>
      <c r="H111" s="3" t="s">
        <v>27</v>
      </c>
      <c r="I111" s="3" t="s">
        <v>28</v>
      </c>
      <c r="J111" s="3" t="n">
        <v>265</v>
      </c>
      <c r="K111" s="4" t="n">
        <v>3889.43</v>
      </c>
      <c r="L111" s="4" t="n">
        <f aca="false">J111*K111</f>
        <v>1030698.95</v>
      </c>
      <c r="M111" s="4" t="n">
        <f aca="false">L111*0.6421</f>
        <v>661811.795795</v>
      </c>
      <c r="N111" s="4" t="n">
        <f aca="false">L111-M111</f>
        <v>368887.154205</v>
      </c>
      <c r="O111" s="5" t="n">
        <f aca="false">IFERROR(N111/L111,0)</f>
        <v>0.3579</v>
      </c>
      <c r="P111" s="3" t="s">
        <v>35</v>
      </c>
      <c r="Q111" s="3" t="s">
        <v>30</v>
      </c>
      <c r="R111" s="4" t="n">
        <f aca="false">L111/(1+0.1967)</f>
        <v>861284.323556447</v>
      </c>
      <c r="S111" s="4" t="n">
        <f aca="false">L111</f>
        <v>1030698.95</v>
      </c>
      <c r="T111" s="5" t="n">
        <f aca="false">IFERROR(S111/R111,0)</f>
        <v>1.1967</v>
      </c>
      <c r="U111" s="5" t="n">
        <f aca="false">IFERROR((L111-V111)/V111,0)</f>
        <v>0.2425</v>
      </c>
      <c r="V111" s="4" t="n">
        <f aca="false">L111/1.2425</f>
        <v>829536.378269618</v>
      </c>
    </row>
    <row r="112" customFormat="false" ht="15" hidden="false" customHeight="false" outlineLevel="0" collapsed="false">
      <c r="A112" s="2" t="n">
        <v>45839</v>
      </c>
      <c r="B112" s="3" t="s">
        <v>80</v>
      </c>
      <c r="C112" s="3" t="s">
        <v>81</v>
      </c>
      <c r="D112" s="3" t="n">
        <v>2025</v>
      </c>
      <c r="E112" s="3" t="s">
        <v>38</v>
      </c>
      <c r="F112" s="3" t="s">
        <v>39</v>
      </c>
      <c r="G112" s="3" t="s">
        <v>56</v>
      </c>
      <c r="H112" s="3" t="s">
        <v>71</v>
      </c>
      <c r="I112" s="3" t="s">
        <v>75</v>
      </c>
      <c r="J112" s="3" t="n">
        <v>159</v>
      </c>
      <c r="K112" s="4" t="n">
        <v>1223.15</v>
      </c>
      <c r="L112" s="4" t="n">
        <f aca="false">J112*K112</f>
        <v>194480.85</v>
      </c>
      <c r="M112" s="4" t="n">
        <f aca="false">L112*0.577</f>
        <v>112215.45045</v>
      </c>
      <c r="N112" s="4" t="n">
        <f aca="false">L112-M112</f>
        <v>82265.39955</v>
      </c>
      <c r="O112" s="5" t="n">
        <f aca="false">IFERROR(N112/L112,0)</f>
        <v>0.423</v>
      </c>
      <c r="P112" s="3" t="s">
        <v>35</v>
      </c>
      <c r="Q112" s="3" t="s">
        <v>36</v>
      </c>
      <c r="R112" s="4" t="n">
        <f aca="false">L112/(1+0.1619)</f>
        <v>167381.745416989</v>
      </c>
      <c r="S112" s="4" t="n">
        <f aca="false">L112</f>
        <v>194480.85</v>
      </c>
      <c r="T112" s="5" t="n">
        <f aca="false">IFERROR(S112/R112,0)</f>
        <v>1.1619</v>
      </c>
      <c r="U112" s="5" t="n">
        <f aca="false">IFERROR((L112-V112)/V112,0)</f>
        <v>0.1766</v>
      </c>
      <c r="V112" s="4" t="n">
        <f aca="false">L112/1.1766</f>
        <v>165290.540540541</v>
      </c>
    </row>
    <row r="113" customFormat="false" ht="15" hidden="false" customHeight="false" outlineLevel="0" collapsed="false">
      <c r="A113" s="2" t="n">
        <v>45842</v>
      </c>
      <c r="B113" s="3" t="s">
        <v>80</v>
      </c>
      <c r="C113" s="3" t="s">
        <v>81</v>
      </c>
      <c r="D113" s="3" t="n">
        <v>2025</v>
      </c>
      <c r="E113" s="3" t="s">
        <v>47</v>
      </c>
      <c r="F113" s="3" t="s">
        <v>50</v>
      </c>
      <c r="G113" s="3" t="s">
        <v>49</v>
      </c>
      <c r="H113" s="3" t="s">
        <v>43</v>
      </c>
      <c r="I113" s="3" t="s">
        <v>44</v>
      </c>
      <c r="J113" s="3" t="n">
        <v>299</v>
      </c>
      <c r="K113" s="4" t="n">
        <v>5580.39</v>
      </c>
      <c r="L113" s="4" t="n">
        <f aca="false">J113*K113</f>
        <v>1668536.61</v>
      </c>
      <c r="M113" s="4" t="n">
        <f aca="false">L113*0.5295</f>
        <v>883490.134995</v>
      </c>
      <c r="N113" s="4" t="n">
        <f aca="false">L113-M113</f>
        <v>785046.475005</v>
      </c>
      <c r="O113" s="5" t="n">
        <f aca="false">IFERROR(N113/L113,0)</f>
        <v>0.4705</v>
      </c>
      <c r="P113" s="3" t="s">
        <v>29</v>
      </c>
      <c r="Q113" s="3" t="s">
        <v>36</v>
      </c>
      <c r="R113" s="4" t="n">
        <f aca="false">L113/(1+0.0388)</f>
        <v>1606215.45051983</v>
      </c>
      <c r="S113" s="4" t="n">
        <f aca="false">L113</f>
        <v>1668536.61</v>
      </c>
      <c r="T113" s="5" t="n">
        <f aca="false">IFERROR(S113/R113,0)</f>
        <v>1.0388</v>
      </c>
      <c r="U113" s="5" t="n">
        <f aca="false">IFERROR((L113-V113)/V113,0)</f>
        <v>0.00980000000000009</v>
      </c>
      <c r="V113" s="4" t="n">
        <f aca="false">L113/1.0098</f>
        <v>1652343.64230541</v>
      </c>
    </row>
    <row r="114" customFormat="false" ht="15" hidden="false" customHeight="false" outlineLevel="0" collapsed="false">
      <c r="A114" s="2" t="n">
        <v>45852</v>
      </c>
      <c r="B114" s="3" t="s">
        <v>80</v>
      </c>
      <c r="C114" s="3" t="s">
        <v>81</v>
      </c>
      <c r="D114" s="3" t="n">
        <v>2025</v>
      </c>
      <c r="E114" s="3" t="s">
        <v>47</v>
      </c>
      <c r="F114" s="3" t="s">
        <v>89</v>
      </c>
      <c r="G114" s="3" t="s">
        <v>64</v>
      </c>
      <c r="H114" s="3" t="s">
        <v>71</v>
      </c>
      <c r="I114" s="3" t="s">
        <v>75</v>
      </c>
      <c r="J114" s="3" t="n">
        <v>206</v>
      </c>
      <c r="K114" s="4" t="n">
        <v>3652.68</v>
      </c>
      <c r="L114" s="4" t="n">
        <f aca="false">J114*K114</f>
        <v>752452.08</v>
      </c>
      <c r="M114" s="4" t="n">
        <f aca="false">L114*0.7077</f>
        <v>532510.337016</v>
      </c>
      <c r="N114" s="4" t="n">
        <f aca="false">L114-M114</f>
        <v>219941.742984</v>
      </c>
      <c r="O114" s="5" t="n">
        <f aca="false">IFERROR(N114/L114,0)</f>
        <v>0.2923</v>
      </c>
      <c r="P114" s="3" t="s">
        <v>29</v>
      </c>
      <c r="Q114" s="3" t="s">
        <v>30</v>
      </c>
      <c r="R114" s="4" t="n">
        <f aca="false">L114/(1+-0.1461)</f>
        <v>881194.612952336</v>
      </c>
      <c r="S114" s="4" t="n">
        <f aca="false">L114</f>
        <v>752452.08</v>
      </c>
      <c r="T114" s="5" t="n">
        <f aca="false">IFERROR(S114/R114,0)</f>
        <v>0.8539</v>
      </c>
      <c r="U114" s="5" t="n">
        <f aca="false">IFERROR((L114-V114)/V114,0)</f>
        <v>-0.1825</v>
      </c>
      <c r="V114" s="4" t="n">
        <f aca="false">L114/0.8175</f>
        <v>920430.678899083</v>
      </c>
    </row>
    <row r="115" customFormat="false" ht="15" hidden="false" customHeight="false" outlineLevel="0" collapsed="false">
      <c r="A115" s="2" t="n">
        <v>45857</v>
      </c>
      <c r="B115" s="3" t="s">
        <v>80</v>
      </c>
      <c r="C115" s="3" t="s">
        <v>81</v>
      </c>
      <c r="D115" s="3" t="n">
        <v>2025</v>
      </c>
      <c r="E115" s="3" t="s">
        <v>38</v>
      </c>
      <c r="F115" s="3" t="s">
        <v>45</v>
      </c>
      <c r="G115" s="3" t="s">
        <v>64</v>
      </c>
      <c r="H115" s="3" t="s">
        <v>27</v>
      </c>
      <c r="I115" s="3" t="s">
        <v>28</v>
      </c>
      <c r="J115" s="3" t="n">
        <v>299</v>
      </c>
      <c r="K115" s="4" t="n">
        <v>3733.45</v>
      </c>
      <c r="L115" s="4" t="n">
        <f aca="false">J115*K115</f>
        <v>1116301.55</v>
      </c>
      <c r="M115" s="4" t="n">
        <f aca="false">L115*0.628</f>
        <v>701037.3734</v>
      </c>
      <c r="N115" s="4" t="n">
        <f aca="false">L115-M115</f>
        <v>415264.1766</v>
      </c>
      <c r="O115" s="5" t="n">
        <f aca="false">IFERROR(N115/L115,0)</f>
        <v>0.372</v>
      </c>
      <c r="P115" s="3" t="s">
        <v>29</v>
      </c>
      <c r="Q115" s="3" t="s">
        <v>36</v>
      </c>
      <c r="R115" s="4" t="n">
        <f aca="false">L115/(1+0.0682)</f>
        <v>1045030.47182176</v>
      </c>
      <c r="S115" s="4" t="n">
        <f aca="false">L115</f>
        <v>1116301.55</v>
      </c>
      <c r="T115" s="5" t="n">
        <f aca="false">IFERROR(S115/R115,0)</f>
        <v>1.0682</v>
      </c>
      <c r="U115" s="5" t="n">
        <f aca="false">IFERROR((L115-V115)/V115,0)</f>
        <v>0.206</v>
      </c>
      <c r="V115" s="4" t="n">
        <f aca="false">L115/1.206</f>
        <v>925623.175787728</v>
      </c>
    </row>
    <row r="116" customFormat="false" ht="15" hidden="false" customHeight="false" outlineLevel="0" collapsed="false">
      <c r="A116" s="2" t="n">
        <v>45864</v>
      </c>
      <c r="B116" s="3" t="s">
        <v>80</v>
      </c>
      <c r="C116" s="3" t="s">
        <v>81</v>
      </c>
      <c r="D116" s="3" t="n">
        <v>2025</v>
      </c>
      <c r="E116" s="3" t="s">
        <v>47</v>
      </c>
      <c r="F116" s="3" t="s">
        <v>48</v>
      </c>
      <c r="G116" s="3" t="s">
        <v>70</v>
      </c>
      <c r="H116" s="3" t="s">
        <v>27</v>
      </c>
      <c r="I116" s="3" t="s">
        <v>34</v>
      </c>
      <c r="J116" s="3" t="n">
        <v>493</v>
      </c>
      <c r="K116" s="4" t="n">
        <v>7995.77</v>
      </c>
      <c r="L116" s="4" t="n">
        <f aca="false">J116*K116</f>
        <v>3941914.61</v>
      </c>
      <c r="M116" s="4" t="n">
        <f aca="false">L116*0.5303</f>
        <v>2090397.317683</v>
      </c>
      <c r="N116" s="4" t="n">
        <f aca="false">L116-M116</f>
        <v>1851517.292317</v>
      </c>
      <c r="O116" s="5" t="n">
        <f aca="false">IFERROR(N116/L116,0)</f>
        <v>0.4697</v>
      </c>
      <c r="P116" s="3" t="s">
        <v>29</v>
      </c>
      <c r="Q116" s="3" t="s">
        <v>30</v>
      </c>
      <c r="R116" s="4" t="n">
        <f aca="false">L116/(1+-0.0473)</f>
        <v>4137624.23638081</v>
      </c>
      <c r="S116" s="4" t="n">
        <f aca="false">L116</f>
        <v>3941914.61</v>
      </c>
      <c r="T116" s="5" t="n">
        <f aca="false">IFERROR(S116/R116,0)</f>
        <v>0.9527</v>
      </c>
      <c r="U116" s="5" t="n">
        <f aca="false">IFERROR((L116-V116)/V116,0)</f>
        <v>-0.1788</v>
      </c>
      <c r="V116" s="4" t="n">
        <f aca="false">L116/0.8212</f>
        <v>4800188.27325865</v>
      </c>
    </row>
    <row r="117" customFormat="false" ht="15" hidden="false" customHeight="false" outlineLevel="0" collapsed="false">
      <c r="A117" s="2" t="n">
        <v>45866</v>
      </c>
      <c r="B117" s="3" t="s">
        <v>80</v>
      </c>
      <c r="C117" s="3" t="s">
        <v>81</v>
      </c>
      <c r="D117" s="3" t="n">
        <v>2025</v>
      </c>
      <c r="E117" s="3" t="s">
        <v>24</v>
      </c>
      <c r="F117" s="3" t="s">
        <v>25</v>
      </c>
      <c r="G117" s="3" t="s">
        <v>56</v>
      </c>
      <c r="H117" s="3" t="s">
        <v>27</v>
      </c>
      <c r="I117" s="3" t="s">
        <v>28</v>
      </c>
      <c r="J117" s="3" t="n">
        <v>246</v>
      </c>
      <c r="K117" s="4" t="n">
        <v>3549.3</v>
      </c>
      <c r="L117" s="4" t="n">
        <f aca="false">J117*K117</f>
        <v>873127.8</v>
      </c>
      <c r="M117" s="4" t="n">
        <f aca="false">L117*0.625</f>
        <v>545704.875</v>
      </c>
      <c r="N117" s="4" t="n">
        <f aca="false">L117-M117</f>
        <v>327422.925</v>
      </c>
      <c r="O117" s="5" t="n">
        <f aca="false">IFERROR(N117/L117,0)</f>
        <v>0.375</v>
      </c>
      <c r="P117" s="3" t="s">
        <v>29</v>
      </c>
      <c r="Q117" s="3" t="s">
        <v>30</v>
      </c>
      <c r="R117" s="4" t="n">
        <f aca="false">L117/(1+0.1313)</f>
        <v>771791.567223548</v>
      </c>
      <c r="S117" s="4" t="n">
        <f aca="false">L117</f>
        <v>873127.8</v>
      </c>
      <c r="T117" s="5" t="n">
        <f aca="false">IFERROR(S117/R117,0)</f>
        <v>1.1313</v>
      </c>
      <c r="U117" s="5" t="n">
        <f aca="false">IFERROR((L117-V117)/V117,0)</f>
        <v>0.0014</v>
      </c>
      <c r="V117" s="4" t="n">
        <f aca="false">L117/1.0014</f>
        <v>871907.130017975</v>
      </c>
    </row>
    <row r="118" customFormat="false" ht="15" hidden="false" customHeight="false" outlineLevel="0" collapsed="false">
      <c r="A118" s="2" t="n">
        <v>45868</v>
      </c>
      <c r="B118" s="3" t="s">
        <v>80</v>
      </c>
      <c r="C118" s="3" t="s">
        <v>81</v>
      </c>
      <c r="D118" s="3" t="n">
        <v>2025</v>
      </c>
      <c r="E118" s="3" t="s">
        <v>24</v>
      </c>
      <c r="F118" s="3" t="s">
        <v>76</v>
      </c>
      <c r="G118" s="3" t="s">
        <v>49</v>
      </c>
      <c r="H118" s="3" t="s">
        <v>43</v>
      </c>
      <c r="I118" s="3" t="s">
        <v>44</v>
      </c>
      <c r="J118" s="3" t="n">
        <v>115</v>
      </c>
      <c r="K118" s="4" t="n">
        <v>6055.96</v>
      </c>
      <c r="L118" s="4" t="n">
        <f aca="false">J118*K118</f>
        <v>696435.4</v>
      </c>
      <c r="M118" s="4" t="n">
        <f aca="false">L118*0.5188</f>
        <v>361310.68552</v>
      </c>
      <c r="N118" s="4" t="n">
        <f aca="false">L118-M118</f>
        <v>335124.71448</v>
      </c>
      <c r="O118" s="5" t="n">
        <f aca="false">IFERROR(N118/L118,0)</f>
        <v>0.4812</v>
      </c>
      <c r="P118" s="3" t="s">
        <v>29</v>
      </c>
      <c r="Q118" s="3" t="s">
        <v>30</v>
      </c>
      <c r="R118" s="4" t="n">
        <f aca="false">L118/(1+0.1076)</f>
        <v>628778.801011195</v>
      </c>
      <c r="S118" s="4" t="n">
        <f aca="false">L118</f>
        <v>696435.4</v>
      </c>
      <c r="T118" s="5" t="n">
        <f aca="false">IFERROR(S118/R118,0)</f>
        <v>1.1076</v>
      </c>
      <c r="U118" s="5" t="n">
        <f aca="false">IFERROR((L118-V118)/V118,0)</f>
        <v>0.2289</v>
      </c>
      <c r="V118" s="4" t="n">
        <f aca="false">L118/1.2289</f>
        <v>566714.460086256</v>
      </c>
    </row>
    <row r="119" customFormat="false" ht="15" hidden="false" customHeight="false" outlineLevel="0" collapsed="false">
      <c r="A119" s="2" t="n">
        <v>45869</v>
      </c>
      <c r="B119" s="3" t="s">
        <v>80</v>
      </c>
      <c r="C119" s="3" t="s">
        <v>81</v>
      </c>
      <c r="D119" s="3" t="n">
        <v>2025</v>
      </c>
      <c r="E119" s="3" t="s">
        <v>38</v>
      </c>
      <c r="F119" s="3" t="s">
        <v>79</v>
      </c>
      <c r="G119" s="3" t="s">
        <v>56</v>
      </c>
      <c r="H119" s="3" t="s">
        <v>40</v>
      </c>
      <c r="I119" s="3" t="s">
        <v>57</v>
      </c>
      <c r="J119" s="3" t="n">
        <v>142</v>
      </c>
      <c r="K119" s="4" t="n">
        <v>2348.32</v>
      </c>
      <c r="L119" s="4" t="n">
        <f aca="false">J119*K119</f>
        <v>333461.44</v>
      </c>
      <c r="M119" s="4" t="n">
        <f aca="false">L119*0.7164</f>
        <v>238891.775616</v>
      </c>
      <c r="N119" s="4" t="n">
        <f aca="false">L119-M119</f>
        <v>94569.664384</v>
      </c>
      <c r="O119" s="5" t="n">
        <f aca="false">IFERROR(N119/L119,0)</f>
        <v>0.2836</v>
      </c>
      <c r="P119" s="3" t="s">
        <v>29</v>
      </c>
      <c r="Q119" s="3" t="s">
        <v>30</v>
      </c>
      <c r="R119" s="4" t="n">
        <f aca="false">L119/(1+-0.1223)</f>
        <v>379926.444115301</v>
      </c>
      <c r="S119" s="4" t="n">
        <f aca="false">L119</f>
        <v>333461.44</v>
      </c>
      <c r="T119" s="5" t="n">
        <f aca="false">IFERROR(S119/R119,0)</f>
        <v>0.8777</v>
      </c>
      <c r="U119" s="5" t="n">
        <f aca="false">IFERROR((L119-V119)/V119,0)</f>
        <v>0.1108</v>
      </c>
      <c r="V119" s="4" t="n">
        <f aca="false">L119/1.1108</f>
        <v>300199.351818509</v>
      </c>
    </row>
    <row r="120" customFormat="false" ht="15" hidden="false" customHeight="false" outlineLevel="0" collapsed="false">
      <c r="A120" s="2" t="n">
        <v>45876</v>
      </c>
      <c r="B120" s="3" t="s">
        <v>82</v>
      </c>
      <c r="C120" s="3" t="s">
        <v>81</v>
      </c>
      <c r="D120" s="3" t="n">
        <v>2025</v>
      </c>
      <c r="E120" s="3" t="s">
        <v>47</v>
      </c>
      <c r="F120" s="3" t="s">
        <v>48</v>
      </c>
      <c r="G120" s="3" t="s">
        <v>61</v>
      </c>
      <c r="H120" s="3" t="s">
        <v>71</v>
      </c>
      <c r="I120" s="3" t="s">
        <v>72</v>
      </c>
      <c r="J120" s="3" t="n">
        <v>338</v>
      </c>
      <c r="K120" s="4" t="n">
        <v>7078.03</v>
      </c>
      <c r="L120" s="4" t="n">
        <f aca="false">J120*K120</f>
        <v>2392374.14</v>
      </c>
      <c r="M120" s="4" t="n">
        <f aca="false">L120*0.6332</f>
        <v>1514851.305448</v>
      </c>
      <c r="N120" s="4" t="n">
        <f aca="false">L120-M120</f>
        <v>877522.834552</v>
      </c>
      <c r="O120" s="5" t="n">
        <f aca="false">IFERROR(N120/L120,0)</f>
        <v>0.3668</v>
      </c>
      <c r="P120" s="3" t="s">
        <v>29</v>
      </c>
      <c r="Q120" s="3" t="s">
        <v>30</v>
      </c>
      <c r="R120" s="4" t="n">
        <f aca="false">L120/(1+0.1865)</f>
        <v>2016328.81584492</v>
      </c>
      <c r="S120" s="4" t="n">
        <f aca="false">L120</f>
        <v>2392374.14</v>
      </c>
      <c r="T120" s="5" t="n">
        <f aca="false">IFERROR(S120/R120,0)</f>
        <v>1.1865</v>
      </c>
      <c r="U120" s="5" t="n">
        <f aca="false">IFERROR((L120-V120)/V120,0)</f>
        <v>0.0641</v>
      </c>
      <c r="V120" s="4" t="n">
        <f aca="false">L120/1.0641</f>
        <v>2248260.63339912</v>
      </c>
    </row>
    <row r="121" customFormat="false" ht="15" hidden="false" customHeight="false" outlineLevel="0" collapsed="false">
      <c r="A121" s="2" t="n">
        <v>45882</v>
      </c>
      <c r="B121" s="3" t="s">
        <v>82</v>
      </c>
      <c r="C121" s="3" t="s">
        <v>81</v>
      </c>
      <c r="D121" s="3" t="n">
        <v>2025</v>
      </c>
      <c r="E121" s="3" t="s">
        <v>47</v>
      </c>
      <c r="F121" s="3" t="s">
        <v>89</v>
      </c>
      <c r="G121" s="3" t="s">
        <v>26</v>
      </c>
      <c r="H121" s="3" t="s">
        <v>43</v>
      </c>
      <c r="I121" s="3" t="s">
        <v>44</v>
      </c>
      <c r="J121" s="3" t="n">
        <v>376</v>
      </c>
      <c r="K121" s="4" t="n">
        <v>1121.43</v>
      </c>
      <c r="L121" s="4" t="n">
        <f aca="false">J121*K121</f>
        <v>421657.68</v>
      </c>
      <c r="M121" s="4" t="n">
        <f aca="false">L121*0.6168</f>
        <v>260078.457024</v>
      </c>
      <c r="N121" s="4" t="n">
        <f aca="false">L121-M121</f>
        <v>161579.222976</v>
      </c>
      <c r="O121" s="5" t="n">
        <f aca="false">IFERROR(N121/L121,0)</f>
        <v>0.3832</v>
      </c>
      <c r="P121" s="3" t="s">
        <v>35</v>
      </c>
      <c r="Q121" s="3" t="s">
        <v>30</v>
      </c>
      <c r="R121" s="4" t="n">
        <f aca="false">L121/(1+-0.1603)</f>
        <v>502152.768846017</v>
      </c>
      <c r="S121" s="4" t="n">
        <f aca="false">L121</f>
        <v>421657.68</v>
      </c>
      <c r="T121" s="5" t="n">
        <f aca="false">IFERROR(S121/R121,0)</f>
        <v>0.8397</v>
      </c>
      <c r="U121" s="5" t="n">
        <f aca="false">IFERROR((L121-V121)/V121,0)</f>
        <v>0.1963</v>
      </c>
      <c r="V121" s="4" t="n">
        <f aca="false">L121/1.1963</f>
        <v>352468.176878709</v>
      </c>
    </row>
    <row r="122" customFormat="false" ht="15" hidden="false" customHeight="false" outlineLevel="0" collapsed="false">
      <c r="A122" s="2" t="n">
        <v>45883</v>
      </c>
      <c r="B122" s="3" t="s">
        <v>82</v>
      </c>
      <c r="C122" s="3" t="s">
        <v>81</v>
      </c>
      <c r="D122" s="3" t="n">
        <v>2025</v>
      </c>
      <c r="E122" s="3" t="s">
        <v>47</v>
      </c>
      <c r="F122" s="3" t="s">
        <v>48</v>
      </c>
      <c r="G122" s="3" t="s">
        <v>64</v>
      </c>
      <c r="H122" s="3" t="s">
        <v>65</v>
      </c>
      <c r="I122" s="3" t="s">
        <v>66</v>
      </c>
      <c r="J122" s="3" t="n">
        <v>181</v>
      </c>
      <c r="K122" s="4" t="n">
        <v>3344.79</v>
      </c>
      <c r="L122" s="4" t="n">
        <f aca="false">J122*K122</f>
        <v>605406.99</v>
      </c>
      <c r="M122" s="4" t="n">
        <f aca="false">L122*0.5195</f>
        <v>314508.931305</v>
      </c>
      <c r="N122" s="4" t="n">
        <f aca="false">L122-M122</f>
        <v>290898.058695</v>
      </c>
      <c r="O122" s="5" t="n">
        <f aca="false">IFERROR(N122/L122,0)</f>
        <v>0.4805</v>
      </c>
      <c r="P122" s="3" t="s">
        <v>29</v>
      </c>
      <c r="Q122" s="3" t="s">
        <v>36</v>
      </c>
      <c r="R122" s="4" t="n">
        <f aca="false">L122/(1+-0.1086)</f>
        <v>679164.224814898</v>
      </c>
      <c r="S122" s="4" t="n">
        <f aca="false">L122</f>
        <v>605406.99</v>
      </c>
      <c r="T122" s="5" t="n">
        <f aca="false">IFERROR(S122/R122,0)</f>
        <v>0.8914</v>
      </c>
      <c r="U122" s="5" t="n">
        <f aca="false">IFERROR((L122-V122)/V122,0)</f>
        <v>-0.1582</v>
      </c>
      <c r="V122" s="4" t="n">
        <f aca="false">L122/0.8418</f>
        <v>719181.503920171</v>
      </c>
    </row>
    <row r="123" customFormat="false" ht="15" hidden="false" customHeight="false" outlineLevel="0" collapsed="false">
      <c r="A123" s="2" t="n">
        <v>45890</v>
      </c>
      <c r="B123" s="3" t="s">
        <v>82</v>
      </c>
      <c r="C123" s="3" t="s">
        <v>81</v>
      </c>
      <c r="D123" s="3" t="n">
        <v>2025</v>
      </c>
      <c r="E123" s="3" t="s">
        <v>24</v>
      </c>
      <c r="F123" s="3" t="s">
        <v>69</v>
      </c>
      <c r="G123" s="3" t="s">
        <v>37</v>
      </c>
      <c r="H123" s="3" t="s">
        <v>40</v>
      </c>
      <c r="I123" s="3" t="s">
        <v>57</v>
      </c>
      <c r="J123" s="3" t="n">
        <v>387</v>
      </c>
      <c r="K123" s="4" t="n">
        <v>2136.48</v>
      </c>
      <c r="L123" s="4" t="n">
        <f aca="false">J123*K123</f>
        <v>826817.76</v>
      </c>
      <c r="M123" s="4" t="n">
        <f aca="false">L123*0.7068</f>
        <v>584394.792768</v>
      </c>
      <c r="N123" s="4" t="n">
        <f aca="false">L123-M123</f>
        <v>242422.967232</v>
      </c>
      <c r="O123" s="5" t="n">
        <f aca="false">IFERROR(N123/L123,0)</f>
        <v>0.2932</v>
      </c>
      <c r="P123" s="3" t="s">
        <v>35</v>
      </c>
      <c r="Q123" s="3" t="s">
        <v>36</v>
      </c>
      <c r="R123" s="4" t="n">
        <f aca="false">L123/(1+0.0516)</f>
        <v>786247.394446558</v>
      </c>
      <c r="S123" s="4" t="n">
        <f aca="false">L123</f>
        <v>826817.76</v>
      </c>
      <c r="T123" s="5" t="n">
        <f aca="false">IFERROR(S123/R123,0)</f>
        <v>1.0516</v>
      </c>
      <c r="U123" s="5" t="n">
        <f aca="false">IFERROR((L123-V123)/V123,0)</f>
        <v>0.1978</v>
      </c>
      <c r="V123" s="4" t="n">
        <f aca="false">L123/1.1978</f>
        <v>690280.313908833</v>
      </c>
    </row>
    <row r="124" customFormat="false" ht="15" hidden="false" customHeight="false" outlineLevel="0" collapsed="false">
      <c r="A124" s="2" t="n">
        <v>45894</v>
      </c>
      <c r="B124" s="3" t="s">
        <v>82</v>
      </c>
      <c r="C124" s="3" t="s">
        <v>81</v>
      </c>
      <c r="D124" s="3" t="n">
        <v>2025</v>
      </c>
      <c r="E124" s="3" t="s">
        <v>38</v>
      </c>
      <c r="F124" s="3" t="s">
        <v>45</v>
      </c>
      <c r="G124" s="3" t="s">
        <v>26</v>
      </c>
      <c r="H124" s="3" t="s">
        <v>65</v>
      </c>
      <c r="I124" s="3" t="s">
        <v>68</v>
      </c>
      <c r="J124" s="3" t="n">
        <v>475</v>
      </c>
      <c r="K124" s="4" t="n">
        <v>7093.92</v>
      </c>
      <c r="L124" s="4" t="n">
        <f aca="false">J124*K124</f>
        <v>3369612</v>
      </c>
      <c r="M124" s="4" t="n">
        <f aca="false">L124*0.6752</f>
        <v>2275162.0224</v>
      </c>
      <c r="N124" s="4" t="n">
        <f aca="false">L124-M124</f>
        <v>1094449.9776</v>
      </c>
      <c r="O124" s="5" t="n">
        <f aca="false">IFERROR(N124/L124,0)</f>
        <v>0.3248</v>
      </c>
      <c r="P124" s="3" t="s">
        <v>29</v>
      </c>
      <c r="Q124" s="3" t="s">
        <v>30</v>
      </c>
      <c r="R124" s="4" t="n">
        <f aca="false">L124/(1+0.1994)</f>
        <v>2809414.70735368</v>
      </c>
      <c r="S124" s="4" t="n">
        <f aca="false">L124</f>
        <v>3369612</v>
      </c>
      <c r="T124" s="5" t="n">
        <f aca="false">IFERROR(S124/R124,0)</f>
        <v>1.1994</v>
      </c>
      <c r="U124" s="5" t="n">
        <f aca="false">IFERROR((L124-V124)/V124,0)</f>
        <v>-0.0231</v>
      </c>
      <c r="V124" s="4" t="n">
        <f aca="false">L124/0.9769</f>
        <v>3449290.61316409</v>
      </c>
    </row>
    <row r="125" customFormat="false" ht="15" hidden="false" customHeight="false" outlineLevel="0" collapsed="false">
      <c r="A125" s="2" t="n">
        <v>45899</v>
      </c>
      <c r="B125" s="3" t="s">
        <v>82</v>
      </c>
      <c r="C125" s="3" t="s">
        <v>81</v>
      </c>
      <c r="D125" s="3" t="n">
        <v>2025</v>
      </c>
      <c r="E125" s="3" t="s">
        <v>24</v>
      </c>
      <c r="F125" s="3" t="s">
        <v>76</v>
      </c>
      <c r="G125" s="3" t="s">
        <v>56</v>
      </c>
      <c r="H125" s="3" t="s">
        <v>71</v>
      </c>
      <c r="I125" s="3" t="s">
        <v>72</v>
      </c>
      <c r="J125" s="3" t="n">
        <v>357</v>
      </c>
      <c r="K125" s="4" t="n">
        <v>2498.73</v>
      </c>
      <c r="L125" s="4" t="n">
        <f aca="false">J125*K125</f>
        <v>892046.61</v>
      </c>
      <c r="M125" s="4" t="n">
        <f aca="false">L125*0.7096</f>
        <v>632996.274456</v>
      </c>
      <c r="N125" s="4" t="n">
        <f aca="false">L125-M125</f>
        <v>259050.335544</v>
      </c>
      <c r="O125" s="5" t="n">
        <f aca="false">IFERROR(N125/L125,0)</f>
        <v>0.2904</v>
      </c>
      <c r="P125" s="3" t="s">
        <v>35</v>
      </c>
      <c r="Q125" s="3" t="s">
        <v>30</v>
      </c>
      <c r="R125" s="4" t="n">
        <f aca="false">L125/(1+-0.1175)</f>
        <v>1010817.68838527</v>
      </c>
      <c r="S125" s="4" t="n">
        <f aca="false">L125</f>
        <v>892046.61</v>
      </c>
      <c r="T125" s="5" t="n">
        <f aca="false">IFERROR(S125/R125,0)</f>
        <v>0.8825</v>
      </c>
      <c r="U125" s="5" t="n">
        <f aca="false">IFERROR((L125-V125)/V125,0)</f>
        <v>0.1132</v>
      </c>
      <c r="V125" s="4" t="n">
        <f aca="false">L125/1.1132</f>
        <v>801335.438375853</v>
      </c>
    </row>
    <row r="126" customFormat="false" ht="15" hidden="false" customHeight="false" outlineLevel="0" collapsed="false">
      <c r="A126" s="2" t="n">
        <v>45907</v>
      </c>
      <c r="B126" s="3" t="s">
        <v>86</v>
      </c>
      <c r="C126" s="3" t="s">
        <v>81</v>
      </c>
      <c r="D126" s="3" t="n">
        <v>2025</v>
      </c>
      <c r="E126" s="3" t="s">
        <v>24</v>
      </c>
      <c r="F126" s="3" t="s">
        <v>25</v>
      </c>
      <c r="G126" s="3" t="s">
        <v>64</v>
      </c>
      <c r="H126" s="3" t="s">
        <v>40</v>
      </c>
      <c r="I126" s="3" t="s">
        <v>41</v>
      </c>
      <c r="J126" s="3" t="n">
        <v>444</v>
      </c>
      <c r="K126" s="4" t="n">
        <v>3171.45</v>
      </c>
      <c r="L126" s="4" t="n">
        <f aca="false">J126*K126</f>
        <v>1408123.8</v>
      </c>
      <c r="M126" s="4" t="n">
        <f aca="false">L126*0.7246</f>
        <v>1020326.50548</v>
      </c>
      <c r="N126" s="4" t="n">
        <f aca="false">L126-M126</f>
        <v>387797.29452</v>
      </c>
      <c r="O126" s="5" t="n">
        <f aca="false">IFERROR(N126/L126,0)</f>
        <v>0.2754</v>
      </c>
      <c r="P126" s="3" t="s">
        <v>35</v>
      </c>
      <c r="Q126" s="3" t="s">
        <v>36</v>
      </c>
      <c r="R126" s="4" t="n">
        <f aca="false">L126/(1+-0.1245)</f>
        <v>1608365.27698458</v>
      </c>
      <c r="S126" s="4" t="n">
        <f aca="false">L126</f>
        <v>1408123.8</v>
      </c>
      <c r="T126" s="5" t="n">
        <f aca="false">IFERROR(S126/R126,0)</f>
        <v>0.8755</v>
      </c>
      <c r="U126" s="5" t="n">
        <f aca="false">IFERROR((L126-V126)/V126,0)</f>
        <v>-9.99999999999881E-005</v>
      </c>
      <c r="V126" s="4" t="n">
        <f aca="false">L126/0.9999</f>
        <v>1408264.62646265</v>
      </c>
    </row>
    <row r="127" customFormat="false" ht="15" hidden="false" customHeight="false" outlineLevel="0" collapsed="false">
      <c r="A127" s="2" t="n">
        <v>45908</v>
      </c>
      <c r="B127" s="3" t="s">
        <v>86</v>
      </c>
      <c r="C127" s="3" t="s">
        <v>81</v>
      </c>
      <c r="D127" s="3" t="n">
        <v>2025</v>
      </c>
      <c r="E127" s="3" t="s">
        <v>47</v>
      </c>
      <c r="F127" s="3" t="s">
        <v>48</v>
      </c>
      <c r="G127" s="3" t="s">
        <v>49</v>
      </c>
      <c r="H127" s="3" t="s">
        <v>65</v>
      </c>
      <c r="I127" s="3" t="s">
        <v>68</v>
      </c>
      <c r="J127" s="3" t="n">
        <v>216</v>
      </c>
      <c r="K127" s="4" t="n">
        <v>3111.92</v>
      </c>
      <c r="L127" s="4" t="n">
        <f aca="false">J127*K127</f>
        <v>672174.72</v>
      </c>
      <c r="M127" s="4" t="n">
        <f aca="false">L127*0.567</f>
        <v>381123.06624</v>
      </c>
      <c r="N127" s="4" t="n">
        <f aca="false">L127-M127</f>
        <v>291051.65376</v>
      </c>
      <c r="O127" s="5" t="n">
        <f aca="false">IFERROR(N127/L127,0)</f>
        <v>0.433</v>
      </c>
      <c r="P127" s="3" t="s">
        <v>29</v>
      </c>
      <c r="Q127" s="3" t="s">
        <v>30</v>
      </c>
      <c r="R127" s="4" t="n">
        <f aca="false">L127/(1+-0.1602)</f>
        <v>800398.571088354</v>
      </c>
      <c r="S127" s="4" t="n">
        <f aca="false">L127</f>
        <v>672174.72</v>
      </c>
      <c r="T127" s="5" t="n">
        <f aca="false">IFERROR(S127/R127,0)</f>
        <v>0.8398</v>
      </c>
      <c r="U127" s="5" t="n">
        <f aca="false">IFERROR((L127-V127)/V127,0)</f>
        <v>-0.0298</v>
      </c>
      <c r="V127" s="4" t="n">
        <f aca="false">L127/0.9702</f>
        <v>692820.779220779</v>
      </c>
    </row>
    <row r="128" customFormat="false" ht="15" hidden="false" customHeight="false" outlineLevel="0" collapsed="false">
      <c r="A128" s="2" t="n">
        <v>45912</v>
      </c>
      <c r="B128" s="3" t="s">
        <v>86</v>
      </c>
      <c r="C128" s="3" t="s">
        <v>81</v>
      </c>
      <c r="D128" s="3" t="n">
        <v>2025</v>
      </c>
      <c r="E128" s="3" t="s">
        <v>47</v>
      </c>
      <c r="F128" s="3" t="s">
        <v>89</v>
      </c>
      <c r="G128" s="3" t="s">
        <v>61</v>
      </c>
      <c r="H128" s="3" t="s">
        <v>43</v>
      </c>
      <c r="I128" s="3" t="s">
        <v>46</v>
      </c>
      <c r="J128" s="3" t="n">
        <v>11</v>
      </c>
      <c r="K128" s="4" t="n">
        <v>3867.89</v>
      </c>
      <c r="L128" s="4" t="n">
        <f aca="false">J128*K128</f>
        <v>42546.79</v>
      </c>
      <c r="M128" s="4" t="n">
        <f aca="false">L128*0.6089</f>
        <v>25906.740431</v>
      </c>
      <c r="N128" s="4" t="n">
        <f aca="false">L128-M128</f>
        <v>16640.049569</v>
      </c>
      <c r="O128" s="5" t="n">
        <f aca="false">IFERROR(N128/L128,0)</f>
        <v>0.3911</v>
      </c>
      <c r="P128" s="3" t="s">
        <v>29</v>
      </c>
      <c r="Q128" s="3" t="s">
        <v>30</v>
      </c>
      <c r="R128" s="4" t="n">
        <f aca="false">L128/(1+0.141)</f>
        <v>37289.0359333918</v>
      </c>
      <c r="S128" s="4" t="n">
        <f aca="false">L128</f>
        <v>42546.79</v>
      </c>
      <c r="T128" s="5" t="n">
        <f aca="false">IFERROR(S128/R128,0)</f>
        <v>1.141</v>
      </c>
      <c r="U128" s="5" t="n">
        <f aca="false">IFERROR((L128-V128)/V128,0)</f>
        <v>0.2278</v>
      </c>
      <c r="V128" s="4" t="n">
        <f aca="false">L128/1.2278</f>
        <v>34652.8669164359</v>
      </c>
    </row>
    <row r="129" customFormat="false" ht="15" hidden="false" customHeight="false" outlineLevel="0" collapsed="false">
      <c r="A129" s="2" t="n">
        <v>45915</v>
      </c>
      <c r="B129" s="3" t="s">
        <v>86</v>
      </c>
      <c r="C129" s="3" t="s">
        <v>81</v>
      </c>
      <c r="D129" s="3" t="n">
        <v>2025</v>
      </c>
      <c r="E129" s="3" t="s">
        <v>53</v>
      </c>
      <c r="F129" s="3" t="s">
        <v>54</v>
      </c>
      <c r="G129" s="3" t="s">
        <v>70</v>
      </c>
      <c r="H129" s="3" t="s">
        <v>43</v>
      </c>
      <c r="I129" s="3" t="s">
        <v>44</v>
      </c>
      <c r="J129" s="3" t="n">
        <v>275</v>
      </c>
      <c r="K129" s="4" t="n">
        <v>5534.19</v>
      </c>
      <c r="L129" s="4" t="n">
        <f aca="false">J129*K129</f>
        <v>1521902.25</v>
      </c>
      <c r="M129" s="4" t="n">
        <f aca="false">L129*0.5017</f>
        <v>763538.358825</v>
      </c>
      <c r="N129" s="4" t="n">
        <f aca="false">L129-M129</f>
        <v>758363.891175</v>
      </c>
      <c r="O129" s="5" t="n">
        <f aca="false">IFERROR(N129/L129,0)</f>
        <v>0.4983</v>
      </c>
      <c r="P129" s="3" t="s">
        <v>29</v>
      </c>
      <c r="Q129" s="3" t="s">
        <v>30</v>
      </c>
      <c r="R129" s="4" t="n">
        <f aca="false">L129/(1+-0.1907)</f>
        <v>1880516.80464599</v>
      </c>
      <c r="S129" s="4" t="n">
        <f aca="false">L129</f>
        <v>1521902.25</v>
      </c>
      <c r="T129" s="5" t="n">
        <f aca="false">IFERROR(S129/R129,0)</f>
        <v>0.8093</v>
      </c>
      <c r="U129" s="5" t="n">
        <f aca="false">IFERROR((L129-V129)/V129,0)</f>
        <v>-0.1554</v>
      </c>
      <c r="V129" s="4" t="n">
        <f aca="false">L129/0.8446</f>
        <v>1801920.73170732</v>
      </c>
    </row>
    <row r="130" customFormat="false" ht="15" hidden="false" customHeight="false" outlineLevel="0" collapsed="false">
      <c r="A130" s="2" t="n">
        <v>45925</v>
      </c>
      <c r="B130" s="3" t="s">
        <v>86</v>
      </c>
      <c r="C130" s="3" t="s">
        <v>81</v>
      </c>
      <c r="D130" s="3" t="n">
        <v>2025</v>
      </c>
      <c r="E130" s="3" t="s">
        <v>31</v>
      </c>
      <c r="F130" s="3" t="s">
        <v>60</v>
      </c>
      <c r="G130" s="3" t="s">
        <v>26</v>
      </c>
      <c r="H130" s="3" t="s">
        <v>40</v>
      </c>
      <c r="I130" s="3" t="s">
        <v>57</v>
      </c>
      <c r="J130" s="3" t="n">
        <v>270</v>
      </c>
      <c r="K130" s="4" t="n">
        <v>4822.3</v>
      </c>
      <c r="L130" s="4" t="n">
        <f aca="false">J130*K130</f>
        <v>1302021</v>
      </c>
      <c r="M130" s="4" t="n">
        <f aca="false">L130*0.5902</f>
        <v>768452.7942</v>
      </c>
      <c r="N130" s="4" t="n">
        <f aca="false">L130-M130</f>
        <v>533568.2058</v>
      </c>
      <c r="O130" s="5" t="n">
        <f aca="false">IFERROR(N130/L130,0)</f>
        <v>0.4098</v>
      </c>
      <c r="P130" s="3" t="s">
        <v>35</v>
      </c>
      <c r="Q130" s="3" t="s">
        <v>36</v>
      </c>
      <c r="R130" s="4" t="n">
        <f aca="false">L130/(1+0.1069)</f>
        <v>1176276.98979131</v>
      </c>
      <c r="S130" s="4" t="n">
        <f aca="false">L130</f>
        <v>1302021</v>
      </c>
      <c r="T130" s="5" t="n">
        <f aca="false">IFERROR(S130/R130,0)</f>
        <v>1.1069</v>
      </c>
      <c r="U130" s="5" t="n">
        <f aca="false">IFERROR((L130-V130)/V130,0)</f>
        <v>0.1623</v>
      </c>
      <c r="V130" s="4" t="n">
        <f aca="false">L130/1.1623</f>
        <v>1120210.78895294</v>
      </c>
    </row>
    <row r="131" customFormat="false" ht="15" hidden="false" customHeight="false" outlineLevel="0" collapsed="false">
      <c r="A131" s="2" t="n">
        <v>45934</v>
      </c>
      <c r="B131" s="3" t="s">
        <v>87</v>
      </c>
      <c r="C131" s="3" t="s">
        <v>88</v>
      </c>
      <c r="D131" s="3" t="n">
        <v>2025</v>
      </c>
      <c r="E131" s="3" t="s">
        <v>31</v>
      </c>
      <c r="F131" s="3" t="s">
        <v>74</v>
      </c>
      <c r="G131" s="3" t="s">
        <v>49</v>
      </c>
      <c r="H131" s="3" t="s">
        <v>40</v>
      </c>
      <c r="I131" s="3" t="s">
        <v>41</v>
      </c>
      <c r="J131" s="3" t="n">
        <v>66</v>
      </c>
      <c r="K131" s="4" t="n">
        <v>6522.84</v>
      </c>
      <c r="L131" s="4" t="n">
        <f aca="false">J131*K131</f>
        <v>430507.44</v>
      </c>
      <c r="M131" s="4" t="n">
        <f aca="false">L131*0.5008</f>
        <v>215598.125952</v>
      </c>
      <c r="N131" s="4" t="n">
        <f aca="false">L131-M131</f>
        <v>214909.314048</v>
      </c>
      <c r="O131" s="5" t="n">
        <f aca="false">IFERROR(N131/L131,0)</f>
        <v>0.4992</v>
      </c>
      <c r="P131" s="3" t="s">
        <v>35</v>
      </c>
      <c r="Q131" s="3" t="s">
        <v>30</v>
      </c>
      <c r="R131" s="4" t="n">
        <f aca="false">L131/(1+-0.0607)</f>
        <v>458327.946343021</v>
      </c>
      <c r="S131" s="4" t="n">
        <f aca="false">L131</f>
        <v>430507.44</v>
      </c>
      <c r="T131" s="5" t="n">
        <f aca="false">IFERROR(S131/R131,0)</f>
        <v>0.9393</v>
      </c>
      <c r="U131" s="5" t="n">
        <f aca="false">IFERROR((L131-V131)/V131,0)</f>
        <v>0.2335</v>
      </c>
      <c r="V131" s="4" t="n">
        <f aca="false">L131/1.2335</f>
        <v>349012.92257803</v>
      </c>
    </row>
    <row r="132" customFormat="false" ht="15" hidden="false" customHeight="false" outlineLevel="0" collapsed="false">
      <c r="A132" s="2" t="n">
        <v>45935</v>
      </c>
      <c r="B132" s="3" t="s">
        <v>87</v>
      </c>
      <c r="C132" s="3" t="s">
        <v>88</v>
      </c>
      <c r="D132" s="3" t="n">
        <v>2025</v>
      </c>
      <c r="E132" s="3" t="s">
        <v>31</v>
      </c>
      <c r="F132" s="3" t="s">
        <v>74</v>
      </c>
      <c r="G132" s="3" t="s">
        <v>83</v>
      </c>
      <c r="H132" s="3" t="s">
        <v>71</v>
      </c>
      <c r="I132" s="3" t="s">
        <v>75</v>
      </c>
      <c r="J132" s="3" t="n">
        <v>354</v>
      </c>
      <c r="K132" s="4" t="n">
        <v>7881.43</v>
      </c>
      <c r="L132" s="4" t="n">
        <f aca="false">J132*K132</f>
        <v>2790026.22</v>
      </c>
      <c r="M132" s="4" t="n">
        <f aca="false">L132*0.6179</f>
        <v>1723957.201338</v>
      </c>
      <c r="N132" s="4" t="n">
        <f aca="false">L132-M132</f>
        <v>1066069.018662</v>
      </c>
      <c r="O132" s="5" t="n">
        <f aca="false">IFERROR(N132/L132,0)</f>
        <v>0.3821</v>
      </c>
      <c r="P132" s="3" t="s">
        <v>35</v>
      </c>
      <c r="Q132" s="3" t="s">
        <v>30</v>
      </c>
      <c r="R132" s="4" t="n">
        <f aca="false">L132/(1+0.0728)</f>
        <v>2600695.58165548</v>
      </c>
      <c r="S132" s="4" t="n">
        <f aca="false">L132</f>
        <v>2790026.22</v>
      </c>
      <c r="T132" s="5" t="n">
        <f aca="false">IFERROR(S132/R132,0)</f>
        <v>1.0728</v>
      </c>
      <c r="U132" s="5" t="n">
        <f aca="false">IFERROR((L132-V132)/V132,0)</f>
        <v>-0.0205999999999999</v>
      </c>
      <c r="V132" s="4" t="n">
        <f aca="false">L132/0.9794</f>
        <v>2848709.63855422</v>
      </c>
    </row>
    <row r="133" customFormat="false" ht="15" hidden="false" customHeight="false" outlineLevel="0" collapsed="false">
      <c r="A133" s="2" t="n">
        <v>45937</v>
      </c>
      <c r="B133" s="3" t="s">
        <v>87</v>
      </c>
      <c r="C133" s="3" t="s">
        <v>88</v>
      </c>
      <c r="D133" s="3" t="n">
        <v>2025</v>
      </c>
      <c r="E133" s="3" t="s">
        <v>24</v>
      </c>
      <c r="F133" s="3" t="s">
        <v>76</v>
      </c>
      <c r="G133" s="3" t="s">
        <v>64</v>
      </c>
      <c r="H133" s="3" t="s">
        <v>71</v>
      </c>
      <c r="I133" s="3" t="s">
        <v>72</v>
      </c>
      <c r="J133" s="3" t="n">
        <v>192</v>
      </c>
      <c r="K133" s="4" t="n">
        <v>4840.93</v>
      </c>
      <c r="L133" s="4" t="n">
        <f aca="false">J133*K133</f>
        <v>929458.56</v>
      </c>
      <c r="M133" s="4" t="n">
        <f aca="false">L133*0.6138</f>
        <v>570501.664128</v>
      </c>
      <c r="N133" s="4" t="n">
        <f aca="false">L133-M133</f>
        <v>358956.895872</v>
      </c>
      <c r="O133" s="5" t="n">
        <f aca="false">IFERROR(N133/L133,0)</f>
        <v>0.3862</v>
      </c>
      <c r="P133" s="3" t="s">
        <v>29</v>
      </c>
      <c r="Q133" s="3" t="s">
        <v>30</v>
      </c>
      <c r="R133" s="4" t="n">
        <f aca="false">L133/(1+-0.0892)</f>
        <v>1020485.90250329</v>
      </c>
      <c r="S133" s="4" t="n">
        <f aca="false">L133</f>
        <v>929458.56</v>
      </c>
      <c r="T133" s="5" t="n">
        <f aca="false">IFERROR(S133/R133,0)</f>
        <v>0.9108</v>
      </c>
      <c r="U133" s="5" t="n">
        <f aca="false">IFERROR((L133-V133)/V133,0)</f>
        <v>0.0155000000000001</v>
      </c>
      <c r="V133" s="4" t="n">
        <f aca="false">L133/1.0155</f>
        <v>915271.846381093</v>
      </c>
    </row>
    <row r="134" customFormat="false" ht="15" hidden="false" customHeight="false" outlineLevel="0" collapsed="false">
      <c r="A134" s="2" t="n">
        <v>45938</v>
      </c>
      <c r="B134" s="3" t="s">
        <v>87</v>
      </c>
      <c r="C134" s="3" t="s">
        <v>88</v>
      </c>
      <c r="D134" s="3" t="n">
        <v>2025</v>
      </c>
      <c r="E134" s="3" t="s">
        <v>31</v>
      </c>
      <c r="F134" s="3" t="s">
        <v>32</v>
      </c>
      <c r="G134" s="3" t="s">
        <v>64</v>
      </c>
      <c r="H134" s="3" t="s">
        <v>71</v>
      </c>
      <c r="I134" s="3" t="s">
        <v>72</v>
      </c>
      <c r="J134" s="3" t="n">
        <v>237</v>
      </c>
      <c r="K134" s="4" t="n">
        <v>1542.43</v>
      </c>
      <c r="L134" s="4" t="n">
        <f aca="false">J134*K134</f>
        <v>365555.91</v>
      </c>
      <c r="M134" s="4" t="n">
        <f aca="false">L134*0.5803</f>
        <v>212132.094573</v>
      </c>
      <c r="N134" s="4" t="n">
        <f aca="false">L134-M134</f>
        <v>153423.815427</v>
      </c>
      <c r="O134" s="5" t="n">
        <f aca="false">IFERROR(N134/L134,0)</f>
        <v>0.4197</v>
      </c>
      <c r="P134" s="3" t="s">
        <v>35</v>
      </c>
      <c r="Q134" s="3" t="s">
        <v>36</v>
      </c>
      <c r="R134" s="4" t="n">
        <f aca="false">L134/(1+-0.1331)</f>
        <v>421681.75106702</v>
      </c>
      <c r="S134" s="4" t="n">
        <f aca="false">L134</f>
        <v>365555.91</v>
      </c>
      <c r="T134" s="5" t="n">
        <f aca="false">IFERROR(S134/R134,0)</f>
        <v>0.8669</v>
      </c>
      <c r="U134" s="5" t="n">
        <f aca="false">IFERROR((L134-V134)/V134,0)</f>
        <v>0.1826</v>
      </c>
      <c r="V134" s="4" t="n">
        <f aca="false">L134/1.1826</f>
        <v>309112.049720954</v>
      </c>
    </row>
    <row r="135" customFormat="false" ht="15" hidden="false" customHeight="false" outlineLevel="0" collapsed="false">
      <c r="A135" s="2" t="n">
        <v>45939</v>
      </c>
      <c r="B135" s="3" t="s">
        <v>87</v>
      </c>
      <c r="C135" s="3" t="s">
        <v>88</v>
      </c>
      <c r="D135" s="3" t="n">
        <v>2025</v>
      </c>
      <c r="E135" s="3" t="s">
        <v>31</v>
      </c>
      <c r="F135" s="3" t="s">
        <v>74</v>
      </c>
      <c r="G135" s="3" t="s">
        <v>33</v>
      </c>
      <c r="H135" s="3" t="s">
        <v>71</v>
      </c>
      <c r="I135" s="3" t="s">
        <v>75</v>
      </c>
      <c r="J135" s="3" t="n">
        <v>375</v>
      </c>
      <c r="K135" s="4" t="n">
        <v>2438.81</v>
      </c>
      <c r="L135" s="4" t="n">
        <f aca="false">J135*K135</f>
        <v>914553.75</v>
      </c>
      <c r="M135" s="4" t="n">
        <f aca="false">L135*0.6532</f>
        <v>597386.5095</v>
      </c>
      <c r="N135" s="4" t="n">
        <f aca="false">L135-M135</f>
        <v>317167.2405</v>
      </c>
      <c r="O135" s="5" t="n">
        <f aca="false">IFERROR(N135/L135,0)</f>
        <v>0.3468</v>
      </c>
      <c r="P135" s="3" t="s">
        <v>35</v>
      </c>
      <c r="Q135" s="3" t="s">
        <v>30</v>
      </c>
      <c r="R135" s="4" t="n">
        <f aca="false">L135/(1+-0.1313)</f>
        <v>1052784.33291125</v>
      </c>
      <c r="S135" s="4" t="n">
        <f aca="false">L135</f>
        <v>914553.75</v>
      </c>
      <c r="T135" s="5" t="n">
        <f aca="false">IFERROR(S135/R135,0)</f>
        <v>0.8687</v>
      </c>
      <c r="U135" s="5" t="n">
        <f aca="false">IFERROR((L135-V135)/V135,0)</f>
        <v>-0.0623</v>
      </c>
      <c r="V135" s="4" t="n">
        <f aca="false">L135/0.9377</f>
        <v>975315.932601045</v>
      </c>
    </row>
    <row r="136" customFormat="false" ht="15" hidden="false" customHeight="false" outlineLevel="0" collapsed="false">
      <c r="A136" s="2" t="n">
        <v>45944</v>
      </c>
      <c r="B136" s="3" t="s">
        <v>87</v>
      </c>
      <c r="C136" s="3" t="s">
        <v>88</v>
      </c>
      <c r="D136" s="3" t="n">
        <v>2025</v>
      </c>
      <c r="E136" s="3" t="s">
        <v>47</v>
      </c>
      <c r="F136" s="3" t="s">
        <v>50</v>
      </c>
      <c r="G136" s="3" t="s">
        <v>83</v>
      </c>
      <c r="H136" s="3" t="s">
        <v>71</v>
      </c>
      <c r="I136" s="3" t="s">
        <v>85</v>
      </c>
      <c r="J136" s="3" t="n">
        <v>32</v>
      </c>
      <c r="K136" s="4" t="n">
        <v>3389.51</v>
      </c>
      <c r="L136" s="4" t="n">
        <f aca="false">J136*K136</f>
        <v>108464.32</v>
      </c>
      <c r="M136" s="4" t="n">
        <f aca="false">L136*0.506</f>
        <v>54882.94592</v>
      </c>
      <c r="N136" s="4" t="n">
        <f aca="false">L136-M136</f>
        <v>53581.37408</v>
      </c>
      <c r="O136" s="5" t="n">
        <f aca="false">IFERROR(N136/L136,0)</f>
        <v>0.494</v>
      </c>
      <c r="P136" s="3" t="s">
        <v>35</v>
      </c>
      <c r="Q136" s="3" t="s">
        <v>30</v>
      </c>
      <c r="R136" s="4" t="n">
        <f aca="false">L136/(1+0.0648)</f>
        <v>101863.561232156</v>
      </c>
      <c r="S136" s="4" t="n">
        <f aca="false">L136</f>
        <v>108464.32</v>
      </c>
      <c r="T136" s="5" t="n">
        <f aca="false">IFERROR(S136/R136,0)</f>
        <v>1.0648</v>
      </c>
      <c r="U136" s="5" t="n">
        <f aca="false">IFERROR((L136-V136)/V136,0)</f>
        <v>0.0512999999999999</v>
      </c>
      <c r="V136" s="4" t="n">
        <f aca="false">L136/1.0513</f>
        <v>103171.616094359</v>
      </c>
    </row>
    <row r="137" customFormat="false" ht="15" hidden="false" customHeight="false" outlineLevel="0" collapsed="false">
      <c r="A137" s="2" t="n">
        <v>45957</v>
      </c>
      <c r="B137" s="3" t="s">
        <v>87</v>
      </c>
      <c r="C137" s="3" t="s">
        <v>88</v>
      </c>
      <c r="D137" s="3" t="n">
        <v>2025</v>
      </c>
      <c r="E137" s="3" t="s">
        <v>31</v>
      </c>
      <c r="F137" s="3" t="s">
        <v>32</v>
      </c>
      <c r="G137" s="3" t="s">
        <v>56</v>
      </c>
      <c r="H137" s="3" t="s">
        <v>71</v>
      </c>
      <c r="I137" s="3" t="s">
        <v>75</v>
      </c>
      <c r="J137" s="3" t="n">
        <v>66</v>
      </c>
      <c r="K137" s="4" t="n">
        <v>748.03</v>
      </c>
      <c r="L137" s="4" t="n">
        <f aca="false">J137*K137</f>
        <v>49369.98</v>
      </c>
      <c r="M137" s="4" t="n">
        <f aca="false">L137*0.5209</f>
        <v>25716.822582</v>
      </c>
      <c r="N137" s="4" t="n">
        <f aca="false">L137-M137</f>
        <v>23653.157418</v>
      </c>
      <c r="O137" s="5" t="n">
        <f aca="false">IFERROR(N137/L137,0)</f>
        <v>0.4791</v>
      </c>
      <c r="P137" s="3" t="s">
        <v>35</v>
      </c>
      <c r="Q137" s="3" t="s">
        <v>36</v>
      </c>
      <c r="R137" s="4" t="n">
        <f aca="false">L137/(1+-0.1535)</f>
        <v>58322.4808033077</v>
      </c>
      <c r="S137" s="4" t="n">
        <f aca="false">L137</f>
        <v>49369.98</v>
      </c>
      <c r="T137" s="5" t="n">
        <f aca="false">IFERROR(S137/R137,0)</f>
        <v>0.8465</v>
      </c>
      <c r="U137" s="5" t="n">
        <f aca="false">IFERROR((L137-V137)/V137,0)</f>
        <v>-0.00900000000000004</v>
      </c>
      <c r="V137" s="4" t="n">
        <f aca="false">L137/0.991</f>
        <v>49818.3451059536</v>
      </c>
    </row>
    <row r="138" customFormat="false" ht="15" hidden="false" customHeight="false" outlineLevel="0" collapsed="false">
      <c r="A138" s="2" t="n">
        <v>45958</v>
      </c>
      <c r="B138" s="3" t="s">
        <v>87</v>
      </c>
      <c r="C138" s="3" t="s">
        <v>88</v>
      </c>
      <c r="D138" s="3" t="n">
        <v>2025</v>
      </c>
      <c r="E138" s="3" t="s">
        <v>24</v>
      </c>
      <c r="F138" s="3" t="s">
        <v>69</v>
      </c>
      <c r="G138" s="3" t="s">
        <v>64</v>
      </c>
      <c r="H138" s="3" t="s">
        <v>40</v>
      </c>
      <c r="I138" s="3" t="s">
        <v>41</v>
      </c>
      <c r="J138" s="3" t="n">
        <v>253</v>
      </c>
      <c r="K138" s="4" t="n">
        <v>3503.2</v>
      </c>
      <c r="L138" s="4" t="n">
        <f aca="false">J138*K138</f>
        <v>886309.6</v>
      </c>
      <c r="M138" s="4" t="n">
        <f aca="false">L138*0.6622</f>
        <v>586914.21712</v>
      </c>
      <c r="N138" s="4" t="n">
        <f aca="false">L138-M138</f>
        <v>299395.38288</v>
      </c>
      <c r="O138" s="5" t="n">
        <f aca="false">IFERROR(N138/L138,0)</f>
        <v>0.3378</v>
      </c>
      <c r="P138" s="3" t="s">
        <v>29</v>
      </c>
      <c r="Q138" s="3" t="s">
        <v>36</v>
      </c>
      <c r="R138" s="4" t="n">
        <f aca="false">L138/(1+-0.1359)</f>
        <v>1025702.58071982</v>
      </c>
      <c r="S138" s="4" t="n">
        <f aca="false">L138</f>
        <v>886309.6</v>
      </c>
      <c r="T138" s="5" t="n">
        <f aca="false">IFERROR(S138/R138,0)</f>
        <v>0.8641</v>
      </c>
      <c r="U138" s="5" t="n">
        <f aca="false">IFERROR((L138-V138)/V138,0)</f>
        <v>0.2673</v>
      </c>
      <c r="V138" s="4" t="n">
        <f aca="false">L138/1.2673</f>
        <v>699368.421052632</v>
      </c>
    </row>
    <row r="139" customFormat="false" ht="15" hidden="false" customHeight="false" outlineLevel="0" collapsed="false">
      <c r="A139" s="2" t="n">
        <v>45960</v>
      </c>
      <c r="B139" s="3" t="s">
        <v>87</v>
      </c>
      <c r="C139" s="3" t="s">
        <v>88</v>
      </c>
      <c r="D139" s="3" t="n">
        <v>2025</v>
      </c>
      <c r="E139" s="3" t="s">
        <v>38</v>
      </c>
      <c r="F139" s="3" t="s">
        <v>45</v>
      </c>
      <c r="G139" s="3" t="s">
        <v>56</v>
      </c>
      <c r="H139" s="3" t="s">
        <v>71</v>
      </c>
      <c r="I139" s="3" t="s">
        <v>75</v>
      </c>
      <c r="J139" s="3" t="n">
        <v>10</v>
      </c>
      <c r="K139" s="4" t="n">
        <v>355.46</v>
      </c>
      <c r="L139" s="4" t="n">
        <f aca="false">J139*K139</f>
        <v>3554.6</v>
      </c>
      <c r="M139" s="4" t="n">
        <f aca="false">L139*0.6687</f>
        <v>2376.96102</v>
      </c>
      <c r="N139" s="4" t="n">
        <f aca="false">L139-M139</f>
        <v>1177.63898</v>
      </c>
      <c r="O139" s="5" t="n">
        <f aca="false">IFERROR(N139/L139,0)</f>
        <v>0.3313</v>
      </c>
      <c r="P139" s="3" t="s">
        <v>29</v>
      </c>
      <c r="Q139" s="3" t="s">
        <v>30</v>
      </c>
      <c r="R139" s="4" t="n">
        <f aca="false">L139/(1+-0.1388)</f>
        <v>4127.49651648862</v>
      </c>
      <c r="S139" s="4" t="n">
        <f aca="false">L139</f>
        <v>3554.6</v>
      </c>
      <c r="T139" s="5" t="n">
        <f aca="false">IFERROR(S139/R139,0)</f>
        <v>0.8612</v>
      </c>
      <c r="U139" s="5" t="n">
        <f aca="false">IFERROR((L139-V139)/V139,0)</f>
        <v>0.00520000000000003</v>
      </c>
      <c r="V139" s="4" t="n">
        <f aca="false">L139/1.0052</f>
        <v>3536.21169916435</v>
      </c>
    </row>
    <row r="140" customFormat="false" ht="15" hidden="false" customHeight="false" outlineLevel="0" collapsed="false">
      <c r="A140" s="2" t="n">
        <v>45960</v>
      </c>
      <c r="B140" s="3" t="s">
        <v>87</v>
      </c>
      <c r="C140" s="3" t="s">
        <v>88</v>
      </c>
      <c r="D140" s="3" t="n">
        <v>2025</v>
      </c>
      <c r="E140" s="3" t="s">
        <v>38</v>
      </c>
      <c r="F140" s="3" t="s">
        <v>79</v>
      </c>
      <c r="G140" s="3" t="s">
        <v>49</v>
      </c>
      <c r="H140" s="3" t="s">
        <v>65</v>
      </c>
      <c r="I140" s="3" t="s">
        <v>66</v>
      </c>
      <c r="J140" s="3" t="n">
        <v>205</v>
      </c>
      <c r="K140" s="4" t="n">
        <v>3384.61</v>
      </c>
      <c r="L140" s="4" t="n">
        <f aca="false">J140*K140</f>
        <v>693845.05</v>
      </c>
      <c r="M140" s="4" t="n">
        <f aca="false">L140*0.6111</f>
        <v>424008.710055</v>
      </c>
      <c r="N140" s="4" t="n">
        <f aca="false">L140-M140</f>
        <v>269836.339945</v>
      </c>
      <c r="O140" s="5" t="n">
        <f aca="false">IFERROR(N140/L140,0)</f>
        <v>0.3889</v>
      </c>
      <c r="P140" s="3" t="s">
        <v>29</v>
      </c>
      <c r="Q140" s="3" t="s">
        <v>36</v>
      </c>
      <c r="R140" s="4" t="n">
        <f aca="false">L140/(1+0.0632)</f>
        <v>652600.686606471</v>
      </c>
      <c r="S140" s="4" t="n">
        <f aca="false">L140</f>
        <v>693845.05</v>
      </c>
      <c r="T140" s="5" t="n">
        <f aca="false">IFERROR(S140/R140,0)</f>
        <v>1.0632</v>
      </c>
      <c r="U140" s="5" t="n">
        <f aca="false">IFERROR((L140-V140)/V140,0)</f>
        <v>0.1135</v>
      </c>
      <c r="V140" s="4" t="n">
        <f aca="false">L140/1.1135</f>
        <v>623120.835204311</v>
      </c>
    </row>
    <row r="141" customFormat="false" ht="15" hidden="false" customHeight="false" outlineLevel="0" collapsed="false">
      <c r="A141" s="2" t="n">
        <v>45964</v>
      </c>
      <c r="B141" s="3" t="s">
        <v>91</v>
      </c>
      <c r="C141" s="3" t="s">
        <v>88</v>
      </c>
      <c r="D141" s="3" t="n">
        <v>2025</v>
      </c>
      <c r="E141" s="3" t="s">
        <v>38</v>
      </c>
      <c r="F141" s="3" t="s">
        <v>39</v>
      </c>
      <c r="G141" s="3" t="s">
        <v>37</v>
      </c>
      <c r="H141" s="3" t="s">
        <v>65</v>
      </c>
      <c r="I141" s="3" t="s">
        <v>90</v>
      </c>
      <c r="J141" s="3" t="n">
        <v>80</v>
      </c>
      <c r="K141" s="4" t="n">
        <v>6771.51</v>
      </c>
      <c r="L141" s="4" t="n">
        <f aca="false">J141*K141</f>
        <v>541720.8</v>
      </c>
      <c r="M141" s="4" t="n">
        <f aca="false">L141*0.6639</f>
        <v>359648.43912</v>
      </c>
      <c r="N141" s="4" t="n">
        <f aca="false">L141-M141</f>
        <v>182072.36088</v>
      </c>
      <c r="O141" s="5" t="n">
        <f aca="false">IFERROR(N141/L141,0)</f>
        <v>0.3361</v>
      </c>
      <c r="P141" s="3" t="s">
        <v>29</v>
      </c>
      <c r="Q141" s="3" t="s">
        <v>30</v>
      </c>
      <c r="R141" s="4" t="n">
        <f aca="false">L141/(1+-0.004)</f>
        <v>543896.385542169</v>
      </c>
      <c r="S141" s="4" t="n">
        <f aca="false">L141</f>
        <v>541720.8</v>
      </c>
      <c r="T141" s="5" t="n">
        <f aca="false">IFERROR(S141/R141,0)</f>
        <v>0.996</v>
      </c>
      <c r="U141" s="5" t="n">
        <f aca="false">IFERROR((L141-V141)/V141,0)</f>
        <v>0.0638000000000001</v>
      </c>
      <c r="V141" s="4" t="n">
        <f aca="false">L141/1.0638</f>
        <v>509231.810490694</v>
      </c>
    </row>
    <row r="142" customFormat="false" ht="15" hidden="false" customHeight="false" outlineLevel="0" collapsed="false">
      <c r="A142" s="2" t="n">
        <v>45972</v>
      </c>
      <c r="B142" s="3" t="s">
        <v>91</v>
      </c>
      <c r="C142" s="3" t="s">
        <v>88</v>
      </c>
      <c r="D142" s="3" t="n">
        <v>2025</v>
      </c>
      <c r="E142" s="3" t="s">
        <v>53</v>
      </c>
      <c r="F142" s="3" t="s">
        <v>54</v>
      </c>
      <c r="G142" s="3" t="s">
        <v>37</v>
      </c>
      <c r="H142" s="3" t="s">
        <v>65</v>
      </c>
      <c r="I142" s="3" t="s">
        <v>84</v>
      </c>
      <c r="J142" s="3" t="n">
        <v>472</v>
      </c>
      <c r="K142" s="4" t="n">
        <v>1620.08</v>
      </c>
      <c r="L142" s="4" t="n">
        <f aca="false">J142*K142</f>
        <v>764677.76</v>
      </c>
      <c r="M142" s="4" t="n">
        <f aca="false">L142*0.5352</f>
        <v>409255.537152</v>
      </c>
      <c r="N142" s="4" t="n">
        <f aca="false">L142-M142</f>
        <v>355422.222848</v>
      </c>
      <c r="O142" s="5" t="n">
        <f aca="false">IFERROR(N142/L142,0)</f>
        <v>0.4648</v>
      </c>
      <c r="P142" s="3" t="s">
        <v>35</v>
      </c>
      <c r="Q142" s="3" t="s">
        <v>36</v>
      </c>
      <c r="R142" s="4" t="n">
        <f aca="false">L142/(1+0.0593)</f>
        <v>721870.820353063</v>
      </c>
      <c r="S142" s="4" t="n">
        <f aca="false">L142</f>
        <v>764677.76</v>
      </c>
      <c r="T142" s="5" t="n">
        <f aca="false">IFERROR(S142/R142,0)</f>
        <v>1.0593</v>
      </c>
      <c r="U142" s="5" t="n">
        <f aca="false">IFERROR((L142-V142)/V142,0)</f>
        <v>0.1056</v>
      </c>
      <c r="V142" s="4" t="n">
        <f aca="false">L142/1.1056</f>
        <v>691640.520984081</v>
      </c>
    </row>
    <row r="143" customFormat="false" ht="15" hidden="false" customHeight="false" outlineLevel="0" collapsed="false">
      <c r="A143" s="2" t="n">
        <v>45979</v>
      </c>
      <c r="B143" s="3" t="s">
        <v>91</v>
      </c>
      <c r="C143" s="3" t="s">
        <v>88</v>
      </c>
      <c r="D143" s="3" t="n">
        <v>2025</v>
      </c>
      <c r="E143" s="3" t="s">
        <v>38</v>
      </c>
      <c r="F143" s="3" t="s">
        <v>39</v>
      </c>
      <c r="G143" s="3" t="s">
        <v>49</v>
      </c>
      <c r="H143" s="3" t="s">
        <v>40</v>
      </c>
      <c r="I143" s="3" t="s">
        <v>57</v>
      </c>
      <c r="J143" s="3" t="n">
        <v>283</v>
      </c>
      <c r="K143" s="4" t="n">
        <v>2950.2</v>
      </c>
      <c r="L143" s="4" t="n">
        <f aca="false">J143*K143</f>
        <v>834906.6</v>
      </c>
      <c r="M143" s="4" t="n">
        <f aca="false">L143*0.6959</f>
        <v>581011.50294</v>
      </c>
      <c r="N143" s="4" t="n">
        <f aca="false">L143-M143</f>
        <v>253895.09706</v>
      </c>
      <c r="O143" s="5" t="n">
        <f aca="false">IFERROR(N143/L143,0)</f>
        <v>0.3041</v>
      </c>
      <c r="P143" s="3" t="s">
        <v>35</v>
      </c>
      <c r="Q143" s="3" t="s">
        <v>36</v>
      </c>
      <c r="R143" s="4" t="n">
        <f aca="false">L143/(1+-0.0973)</f>
        <v>924899.302093719</v>
      </c>
      <c r="S143" s="4" t="n">
        <f aca="false">L143</f>
        <v>834906.6</v>
      </c>
      <c r="T143" s="5" t="n">
        <f aca="false">IFERROR(S143/R143,0)</f>
        <v>0.9027</v>
      </c>
      <c r="U143" s="5" t="n">
        <f aca="false">IFERROR((L143-V143)/V143,0)</f>
        <v>0.262</v>
      </c>
      <c r="V143" s="4" t="n">
        <f aca="false">L143/1.262</f>
        <v>661574.167987322</v>
      </c>
    </row>
    <row r="144" customFormat="false" ht="15" hidden="false" customHeight="false" outlineLevel="0" collapsed="false">
      <c r="A144" s="2" t="n">
        <v>45980</v>
      </c>
      <c r="B144" s="3" t="s">
        <v>91</v>
      </c>
      <c r="C144" s="3" t="s">
        <v>88</v>
      </c>
      <c r="D144" s="3" t="n">
        <v>2025</v>
      </c>
      <c r="E144" s="3" t="s">
        <v>47</v>
      </c>
      <c r="F144" s="3" t="s">
        <v>50</v>
      </c>
      <c r="G144" s="3" t="s">
        <v>64</v>
      </c>
      <c r="H144" s="3" t="s">
        <v>65</v>
      </c>
      <c r="I144" s="3" t="s">
        <v>84</v>
      </c>
      <c r="J144" s="3" t="n">
        <v>126</v>
      </c>
      <c r="K144" s="4" t="n">
        <v>4194.82</v>
      </c>
      <c r="L144" s="4" t="n">
        <f aca="false">J144*K144</f>
        <v>528547.32</v>
      </c>
      <c r="M144" s="4" t="n">
        <f aca="false">L144*0.6434</f>
        <v>340067.345688</v>
      </c>
      <c r="N144" s="4" t="n">
        <f aca="false">L144-M144</f>
        <v>188479.974312</v>
      </c>
      <c r="O144" s="5" t="n">
        <f aca="false">IFERROR(N144/L144,0)</f>
        <v>0.3566</v>
      </c>
      <c r="P144" s="3" t="s">
        <v>29</v>
      </c>
      <c r="Q144" s="3" t="s">
        <v>30</v>
      </c>
      <c r="R144" s="4" t="n">
        <f aca="false">L144/(1+-0.0963)</f>
        <v>584870.333075136</v>
      </c>
      <c r="S144" s="4" t="n">
        <f aca="false">L144</f>
        <v>528547.32</v>
      </c>
      <c r="T144" s="5" t="n">
        <f aca="false">IFERROR(S144/R144,0)</f>
        <v>0.9037</v>
      </c>
      <c r="U144" s="5" t="n">
        <f aca="false">IFERROR((L144-V144)/V144,0)</f>
        <v>0.2112</v>
      </c>
      <c r="V144" s="4" t="n">
        <f aca="false">L144/1.2112</f>
        <v>436383.190224571</v>
      </c>
    </row>
    <row r="145" customFormat="false" ht="15" hidden="false" customHeight="false" outlineLevel="0" collapsed="false">
      <c r="A145" s="2" t="n">
        <v>45985</v>
      </c>
      <c r="B145" s="3" t="s">
        <v>91</v>
      </c>
      <c r="C145" s="3" t="s">
        <v>88</v>
      </c>
      <c r="D145" s="3" t="n">
        <v>2025</v>
      </c>
      <c r="E145" s="3" t="s">
        <v>24</v>
      </c>
      <c r="F145" s="3" t="s">
        <v>25</v>
      </c>
      <c r="G145" s="3" t="s">
        <v>26</v>
      </c>
      <c r="H145" s="3" t="s">
        <v>27</v>
      </c>
      <c r="I145" s="3" t="s">
        <v>34</v>
      </c>
      <c r="J145" s="3" t="n">
        <v>306</v>
      </c>
      <c r="K145" s="4" t="n">
        <v>4450.41</v>
      </c>
      <c r="L145" s="4" t="n">
        <f aca="false">J145*K145</f>
        <v>1361825.46</v>
      </c>
      <c r="M145" s="4" t="n">
        <f aca="false">L145*0.6963</f>
        <v>948239.067798</v>
      </c>
      <c r="N145" s="4" t="n">
        <f aca="false">L145-M145</f>
        <v>413586.392202</v>
      </c>
      <c r="O145" s="5" t="n">
        <f aca="false">IFERROR(N145/L145,0)</f>
        <v>0.3037</v>
      </c>
      <c r="P145" s="3" t="s">
        <v>35</v>
      </c>
      <c r="Q145" s="3" t="s">
        <v>30</v>
      </c>
      <c r="R145" s="4" t="n">
        <f aca="false">L145/(1+-0.1719)</f>
        <v>1644518.12583021</v>
      </c>
      <c r="S145" s="4" t="n">
        <f aca="false">L145</f>
        <v>1361825.46</v>
      </c>
      <c r="T145" s="5" t="n">
        <f aca="false">IFERROR(S145/R145,0)</f>
        <v>0.8281</v>
      </c>
      <c r="U145" s="5" t="n">
        <f aca="false">IFERROR((L145-V145)/V145,0)</f>
        <v>0.0406</v>
      </c>
      <c r="V145" s="4" t="n">
        <f aca="false">L145/1.0406</f>
        <v>1308692.54276379</v>
      </c>
    </row>
    <row r="146" customFormat="false" ht="15" hidden="false" customHeight="false" outlineLevel="0" collapsed="false">
      <c r="A146" s="2" t="n">
        <v>45989</v>
      </c>
      <c r="B146" s="3" t="s">
        <v>91</v>
      </c>
      <c r="C146" s="3" t="s">
        <v>88</v>
      </c>
      <c r="D146" s="3" t="n">
        <v>2025</v>
      </c>
      <c r="E146" s="3" t="s">
        <v>47</v>
      </c>
      <c r="F146" s="3" t="s">
        <v>50</v>
      </c>
      <c r="G146" s="3" t="s">
        <v>70</v>
      </c>
      <c r="H146" s="3" t="s">
        <v>71</v>
      </c>
      <c r="I146" s="3" t="s">
        <v>72</v>
      </c>
      <c r="J146" s="3" t="n">
        <v>114</v>
      </c>
      <c r="K146" s="4" t="n">
        <v>7926.93</v>
      </c>
      <c r="L146" s="4" t="n">
        <f aca="false">J146*K146</f>
        <v>903670.02</v>
      </c>
      <c r="M146" s="4" t="n">
        <f aca="false">L146*0.5166</f>
        <v>466835.932332</v>
      </c>
      <c r="N146" s="4" t="n">
        <f aca="false">L146-M146</f>
        <v>436834.087668</v>
      </c>
      <c r="O146" s="5" t="n">
        <f aca="false">IFERROR(N146/L146,0)</f>
        <v>0.4834</v>
      </c>
      <c r="P146" s="3" t="s">
        <v>35</v>
      </c>
      <c r="Q146" s="3" t="s">
        <v>36</v>
      </c>
      <c r="R146" s="4" t="n">
        <f aca="false">L146/(1+0.0614)</f>
        <v>851394.403617863</v>
      </c>
      <c r="S146" s="4" t="n">
        <f aca="false">L146</f>
        <v>903670.02</v>
      </c>
      <c r="T146" s="5" t="n">
        <f aca="false">IFERROR(S146/R146,0)</f>
        <v>1.0614</v>
      </c>
      <c r="U146" s="5" t="n">
        <f aca="false">IFERROR((L146-V146)/V146,0)</f>
        <v>0.1848</v>
      </c>
      <c r="V146" s="4" t="n">
        <f aca="false">L146/1.1848</f>
        <v>762719.46320054</v>
      </c>
    </row>
    <row r="147" customFormat="false" ht="15" hidden="false" customHeight="false" outlineLevel="0" collapsed="false">
      <c r="A147" s="2" t="n">
        <v>45999</v>
      </c>
      <c r="B147" s="3" t="s">
        <v>92</v>
      </c>
      <c r="C147" s="3" t="s">
        <v>88</v>
      </c>
      <c r="D147" s="3" t="n">
        <v>2025</v>
      </c>
      <c r="E147" s="3" t="s">
        <v>53</v>
      </c>
      <c r="F147" s="3" t="s">
        <v>55</v>
      </c>
      <c r="G147" s="3" t="s">
        <v>42</v>
      </c>
      <c r="H147" s="3" t="s">
        <v>27</v>
      </c>
      <c r="I147" s="3" t="s">
        <v>34</v>
      </c>
      <c r="J147" s="3" t="n">
        <v>221</v>
      </c>
      <c r="K147" s="4" t="n">
        <v>7590.48</v>
      </c>
      <c r="L147" s="4" t="n">
        <f aca="false">J147*K147</f>
        <v>1677496.08</v>
      </c>
      <c r="M147" s="4" t="n">
        <f aca="false">L147*0.6016</f>
        <v>1009181.641728</v>
      </c>
      <c r="N147" s="4" t="n">
        <f aca="false">L147-M147</f>
        <v>668314.438272</v>
      </c>
      <c r="O147" s="5" t="n">
        <f aca="false">IFERROR(N147/L147,0)</f>
        <v>0.3984</v>
      </c>
      <c r="P147" s="3" t="s">
        <v>35</v>
      </c>
      <c r="Q147" s="3" t="s">
        <v>30</v>
      </c>
      <c r="R147" s="4" t="n">
        <f aca="false">L147/(1+-0.0449)</f>
        <v>1756356.48623181</v>
      </c>
      <c r="S147" s="4" t="n">
        <f aca="false">L147</f>
        <v>1677496.08</v>
      </c>
      <c r="T147" s="5" t="n">
        <f aca="false">IFERROR(S147/R147,0)</f>
        <v>0.9551</v>
      </c>
      <c r="U147" s="5" t="n">
        <f aca="false">IFERROR((L147-V147)/V147,0)</f>
        <v>0.1795</v>
      </c>
      <c r="V147" s="4" t="n">
        <f aca="false">L147/1.1795</f>
        <v>1422209.47859262</v>
      </c>
    </row>
    <row r="148" customFormat="false" ht="15" hidden="false" customHeight="false" outlineLevel="0" collapsed="false">
      <c r="A148" s="2" t="n">
        <v>46001</v>
      </c>
      <c r="B148" s="3" t="s">
        <v>92</v>
      </c>
      <c r="C148" s="3" t="s">
        <v>88</v>
      </c>
      <c r="D148" s="3" t="n">
        <v>2025</v>
      </c>
      <c r="E148" s="3" t="s">
        <v>47</v>
      </c>
      <c r="F148" s="3" t="s">
        <v>89</v>
      </c>
      <c r="G148" s="3" t="s">
        <v>42</v>
      </c>
      <c r="H148" s="3" t="s">
        <v>71</v>
      </c>
      <c r="I148" s="3" t="s">
        <v>72</v>
      </c>
      <c r="J148" s="3" t="n">
        <v>383</v>
      </c>
      <c r="K148" s="4" t="n">
        <v>1920.49</v>
      </c>
      <c r="L148" s="4" t="n">
        <f aca="false">J148*K148</f>
        <v>735547.67</v>
      </c>
      <c r="M148" s="4" t="n">
        <f aca="false">L148*0.6893</f>
        <v>507013.008931</v>
      </c>
      <c r="N148" s="4" t="n">
        <f aca="false">L148-M148</f>
        <v>228534.661069</v>
      </c>
      <c r="O148" s="5" t="n">
        <f aca="false">IFERROR(N148/L148,0)</f>
        <v>0.3107</v>
      </c>
      <c r="P148" s="3" t="s">
        <v>29</v>
      </c>
      <c r="Q148" s="3" t="s">
        <v>36</v>
      </c>
      <c r="R148" s="4" t="n">
        <f aca="false">L148/(1+0.0275)</f>
        <v>715861.479318735</v>
      </c>
      <c r="S148" s="4" t="n">
        <f aca="false">L148</f>
        <v>735547.67</v>
      </c>
      <c r="T148" s="5" t="n">
        <f aca="false">IFERROR(S148/R148,0)</f>
        <v>1.0275</v>
      </c>
      <c r="U148" s="5" t="n">
        <f aca="false">IFERROR((L148-V148)/V148,0)</f>
        <v>-0.0980999999999999</v>
      </c>
      <c r="V148" s="4" t="n">
        <f aca="false">L148/0.9019</f>
        <v>815553.464907418</v>
      </c>
    </row>
    <row r="149" customFormat="false" ht="15" hidden="false" customHeight="false" outlineLevel="0" collapsed="false">
      <c r="A149" s="2" t="n">
        <v>46008</v>
      </c>
      <c r="B149" s="3" t="s">
        <v>92</v>
      </c>
      <c r="C149" s="3" t="s">
        <v>88</v>
      </c>
      <c r="D149" s="3" t="n">
        <v>2025</v>
      </c>
      <c r="E149" s="3" t="s">
        <v>53</v>
      </c>
      <c r="F149" s="3" t="s">
        <v>55</v>
      </c>
      <c r="G149" s="3" t="s">
        <v>42</v>
      </c>
      <c r="H149" s="3" t="s">
        <v>71</v>
      </c>
      <c r="I149" s="3" t="s">
        <v>75</v>
      </c>
      <c r="J149" s="3" t="n">
        <v>275</v>
      </c>
      <c r="K149" s="4" t="n">
        <v>3881.33</v>
      </c>
      <c r="L149" s="4" t="n">
        <f aca="false">J149*K149</f>
        <v>1067365.75</v>
      </c>
      <c r="M149" s="4" t="n">
        <f aca="false">L149*0.5138</f>
        <v>548412.52235</v>
      </c>
      <c r="N149" s="4" t="n">
        <f aca="false">L149-M149</f>
        <v>518953.22765</v>
      </c>
      <c r="O149" s="5" t="n">
        <f aca="false">IFERROR(N149/L149,0)</f>
        <v>0.4862</v>
      </c>
      <c r="P149" s="3" t="s">
        <v>29</v>
      </c>
      <c r="Q149" s="3" t="s">
        <v>30</v>
      </c>
      <c r="R149" s="4" t="n">
        <f aca="false">L149/(1+0.063)</f>
        <v>1004107.0084666</v>
      </c>
      <c r="S149" s="4" t="n">
        <f aca="false">L149</f>
        <v>1067365.75</v>
      </c>
      <c r="T149" s="5" t="n">
        <f aca="false">IFERROR(S149/R149,0)</f>
        <v>1.063</v>
      </c>
      <c r="U149" s="5" t="n">
        <f aca="false">IFERROR((L149-V149)/V149,0)</f>
        <v>-0.0520000000000001</v>
      </c>
      <c r="V149" s="4" t="n">
        <f aca="false">L149/0.948</f>
        <v>1125913.23839662</v>
      </c>
    </row>
    <row r="150" customFormat="false" ht="15" hidden="false" customHeight="false" outlineLevel="0" collapsed="false">
      <c r="A150" s="2" t="n">
        <v>46010</v>
      </c>
      <c r="B150" s="3" t="s">
        <v>92</v>
      </c>
      <c r="C150" s="3" t="s">
        <v>88</v>
      </c>
      <c r="D150" s="3" t="n">
        <v>2025</v>
      </c>
      <c r="E150" s="3" t="s">
        <v>53</v>
      </c>
      <c r="F150" s="3" t="s">
        <v>54</v>
      </c>
      <c r="G150" s="3" t="s">
        <v>56</v>
      </c>
      <c r="H150" s="3" t="s">
        <v>43</v>
      </c>
      <c r="I150" s="3" t="s">
        <v>58</v>
      </c>
      <c r="J150" s="3" t="n">
        <v>274</v>
      </c>
      <c r="K150" s="4" t="n">
        <v>7906.28</v>
      </c>
      <c r="L150" s="4" t="n">
        <f aca="false">J150*K150</f>
        <v>2166320.72</v>
      </c>
      <c r="M150" s="4" t="n">
        <f aca="false">L150*0.5951</f>
        <v>1289177.460472</v>
      </c>
      <c r="N150" s="4" t="n">
        <f aca="false">L150-M150</f>
        <v>877143.259528</v>
      </c>
      <c r="O150" s="5" t="n">
        <f aca="false">IFERROR(N150/L150,0)</f>
        <v>0.4049</v>
      </c>
      <c r="P150" s="3" t="s">
        <v>35</v>
      </c>
      <c r="Q150" s="3" t="s">
        <v>36</v>
      </c>
      <c r="R150" s="4" t="n">
        <f aca="false">L150/(1+0.1697)</f>
        <v>1852031.05069676</v>
      </c>
      <c r="S150" s="4" t="n">
        <f aca="false">L150</f>
        <v>2166320.72</v>
      </c>
      <c r="T150" s="5" t="n">
        <f aca="false">IFERROR(S150/R150,0)</f>
        <v>1.1697</v>
      </c>
      <c r="U150" s="5" t="n">
        <f aca="false">IFERROR((L150-V150)/V150,0)</f>
        <v>0.2352</v>
      </c>
      <c r="V150" s="4" t="n">
        <f aca="false">L150/1.2352</f>
        <v>1753821.82642487</v>
      </c>
    </row>
    <row r="151" customFormat="false" ht="15" hidden="false" customHeight="false" outlineLevel="0" collapsed="false">
      <c r="A151" s="2" t="n">
        <v>46012</v>
      </c>
      <c r="B151" s="3" t="s">
        <v>92</v>
      </c>
      <c r="C151" s="3" t="s">
        <v>88</v>
      </c>
      <c r="D151" s="3" t="n">
        <v>2025</v>
      </c>
      <c r="E151" s="3" t="s">
        <v>53</v>
      </c>
      <c r="F151" s="3" t="s">
        <v>77</v>
      </c>
      <c r="G151" s="3" t="s">
        <v>64</v>
      </c>
      <c r="H151" s="3" t="s">
        <v>71</v>
      </c>
      <c r="I151" s="3" t="s">
        <v>85</v>
      </c>
      <c r="J151" s="3" t="n">
        <v>303</v>
      </c>
      <c r="K151" s="4" t="n">
        <v>3291.76</v>
      </c>
      <c r="L151" s="4" t="n">
        <f aca="false">J151*K151</f>
        <v>997403.28</v>
      </c>
      <c r="M151" s="4" t="n">
        <f aca="false">L151*0.5979</f>
        <v>596347.421112</v>
      </c>
      <c r="N151" s="4" t="n">
        <f aca="false">L151-M151</f>
        <v>401055.858888</v>
      </c>
      <c r="O151" s="5" t="n">
        <f aca="false">IFERROR(N151/L151,0)</f>
        <v>0.4021</v>
      </c>
      <c r="P151" s="3" t="s">
        <v>29</v>
      </c>
      <c r="Q151" s="3" t="s">
        <v>36</v>
      </c>
      <c r="R151" s="4" t="n">
        <f aca="false">L151/(1+-0.1317)</f>
        <v>1148685.10883335</v>
      </c>
      <c r="S151" s="4" t="n">
        <f aca="false">L151</f>
        <v>997403.28</v>
      </c>
      <c r="T151" s="5" t="n">
        <f aca="false">IFERROR(S151/R151,0)</f>
        <v>0.8683</v>
      </c>
      <c r="U151" s="5" t="n">
        <f aca="false">IFERROR((L151-V151)/V151,0)</f>
        <v>0.2649</v>
      </c>
      <c r="V151" s="4" t="n">
        <f aca="false">L151/1.2649</f>
        <v>788523.424776662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6" t="s">
        <v>93</v>
      </c>
      <c r="B1" s="6" t="s">
        <v>94</v>
      </c>
    </row>
    <row r="2" customFormat="false" ht="15" hidden="false" customHeight="false" outlineLevel="0" collapsed="false">
      <c r="A2" s="3" t="s">
        <v>95</v>
      </c>
      <c r="B2" s="7" t="n">
        <f aca="false">SUM(Sales_Data!L2:L151)</f>
        <v>147446257.95</v>
      </c>
    </row>
    <row r="3" customFormat="false" ht="15" hidden="false" customHeight="false" outlineLevel="0" collapsed="false">
      <c r="A3" s="3" t="s">
        <v>96</v>
      </c>
      <c r="B3" s="7" t="n">
        <f aca="false">SUM(Sales_Data!M2:M151)</f>
        <v>92459618.685709</v>
      </c>
    </row>
    <row r="4" customFormat="false" ht="15" hidden="false" customHeight="false" outlineLevel="0" collapsed="false">
      <c r="A4" s="3" t="s">
        <v>97</v>
      </c>
      <c r="B4" s="7" t="n">
        <f aca="false">SUM(Sales_Data!N2:N151)</f>
        <v>54986639.264291</v>
      </c>
    </row>
    <row r="5" customFormat="false" ht="15" hidden="false" customHeight="false" outlineLevel="0" collapsed="false">
      <c r="A5" s="3" t="s">
        <v>98</v>
      </c>
      <c r="B5" s="5" t="n">
        <f aca="false">SUM(Sales_Data!N2:N151)/SUM(Sales_Data!L2:L151)</f>
        <v>0.372926651573194</v>
      </c>
    </row>
    <row r="6" customFormat="false" ht="15" hidden="false" customHeight="false" outlineLevel="0" collapsed="false">
      <c r="A6" s="3" t="s">
        <v>99</v>
      </c>
      <c r="B6" s="8" t="n">
        <f aca="false">SUM(Sales_Data!J2:J151)</f>
        <v>35930</v>
      </c>
    </row>
    <row r="7" customFormat="false" ht="15" hidden="false" customHeight="false" outlineLevel="0" collapsed="false">
      <c r="A7" s="3" t="s">
        <v>100</v>
      </c>
      <c r="B7" s="7" t="n">
        <f aca="false">SUM(Sales_Data!R2:R151)</f>
        <v>149457925.563649</v>
      </c>
    </row>
    <row r="8" customFormat="false" ht="15" hidden="false" customHeight="false" outlineLevel="0" collapsed="false">
      <c r="A8" s="3" t="s">
        <v>101</v>
      </c>
      <c r="B8" s="7" t="n">
        <f aca="false">SUM(Sales_Data!S2:S151)</f>
        <v>147446257.95</v>
      </c>
    </row>
    <row r="9" customFormat="false" ht="15" hidden="false" customHeight="false" outlineLevel="0" collapsed="false">
      <c r="A9" s="3" t="s">
        <v>102</v>
      </c>
      <c r="B9" s="5" t="n">
        <f aca="false">SUM(Sales_Data!S2:S151)/SUM(Sales_Data!R2:R151)</f>
        <v>0.986540241301608</v>
      </c>
    </row>
    <row r="10" customFormat="false" ht="15" hidden="false" customHeight="false" outlineLevel="0" collapsed="false">
      <c r="A10" s="3" t="s">
        <v>103</v>
      </c>
      <c r="B10" s="5" t="n">
        <f aca="false">AVERAGE(Sales_Data!U2:U151)</f>
        <v>0.038638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2026-09-08T16:41:20Z</dcterms:created>
  <dc:creator>openpyxl</dc:creator>
  <dc:description/>
  <dc:language>en-US</dc:language>
  <cp:lastModifiedBy/>
  <dcterms:modified xsi:type="dcterms:W3CDTF">2026-09-08T16:41:20Z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